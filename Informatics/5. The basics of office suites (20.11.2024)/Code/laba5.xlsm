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ЭтаКнига" defaultThemeVersion="124226"/>
  <bookViews>
    <workbookView xWindow="120" yWindow="75" windowWidth="12435" windowHeight="2910"/>
  </bookViews>
  <sheets>
    <sheet name="Лист1" sheetId="1" r:id="rId1"/>
    <sheet name="Лист2" sheetId="2" r:id="rId2"/>
    <sheet name="Лист3" sheetId="3" r:id="rId3"/>
  </sheets>
  <functionGroups builtInGroupCount="17"/>
  <calcPr calcId="144525"/>
</workbook>
</file>

<file path=xl/calcChain.xml><?xml version="1.0" encoding="utf-8"?>
<calcChain xmlns="http://schemas.openxmlformats.org/spreadsheetml/2006/main">
  <c r="AD65" i="1" l="1"/>
  <c r="AB65" i="1"/>
  <c r="Y65" i="1"/>
  <c r="T65" i="1"/>
  <c r="O65" i="1"/>
  <c r="J65" i="1"/>
  <c r="AB58" i="1"/>
  <c r="Y58" i="1"/>
  <c r="T58" i="1"/>
  <c r="O58" i="1"/>
  <c r="AD51" i="1"/>
  <c r="AB51" i="1"/>
  <c r="Y51" i="1"/>
  <c r="T51" i="1"/>
  <c r="O51" i="1"/>
  <c r="J51" i="1"/>
  <c r="AD44" i="1"/>
  <c r="AB44" i="1"/>
  <c r="Y44" i="1"/>
  <c r="T44" i="1"/>
  <c r="O44" i="1"/>
  <c r="J44" i="1"/>
  <c r="AD37" i="1"/>
  <c r="AB37" i="1"/>
  <c r="Y37" i="1"/>
  <c r="T37" i="1"/>
  <c r="O37" i="1"/>
  <c r="J37" i="1"/>
  <c r="AD30" i="1"/>
  <c r="AB30" i="1"/>
  <c r="Y30" i="1"/>
  <c r="T30" i="1"/>
  <c r="O30" i="1"/>
  <c r="J30" i="1"/>
  <c r="AA28" i="1"/>
  <c r="T23" i="1"/>
  <c r="O23" i="1"/>
  <c r="Y23" i="1"/>
  <c r="AB23" i="1"/>
  <c r="AG61" i="1"/>
  <c r="AG60" i="1"/>
  <c r="G61" i="1"/>
  <c r="H61" i="1"/>
  <c r="I61" i="1"/>
  <c r="J61" i="1"/>
  <c r="K61" i="1"/>
  <c r="L61" i="1"/>
  <c r="M61" i="1"/>
  <c r="N61" i="1"/>
  <c r="O61" i="1"/>
  <c r="P61" i="1"/>
  <c r="Q61" i="1"/>
  <c r="R61" i="1"/>
  <c r="S61" i="1"/>
  <c r="T61" i="1"/>
  <c r="U61" i="1"/>
  <c r="V61" i="1"/>
  <c r="W61" i="1"/>
  <c r="X61" i="1"/>
  <c r="Y61" i="1"/>
  <c r="G60" i="1"/>
  <c r="H60" i="1"/>
  <c r="I60" i="1"/>
  <c r="J60" i="1"/>
  <c r="K60" i="1"/>
  <c r="L60" i="1"/>
  <c r="M60" i="1"/>
  <c r="N60" i="1"/>
  <c r="O60" i="1"/>
  <c r="P60" i="1"/>
  <c r="Q60" i="1"/>
  <c r="R60" i="1"/>
  <c r="S60" i="1"/>
  <c r="T60" i="1"/>
  <c r="U60" i="1"/>
  <c r="V60" i="1"/>
  <c r="W60" i="1"/>
  <c r="X60" i="1"/>
  <c r="Y60" i="1"/>
  <c r="AG63" i="1"/>
  <c r="Y63" i="1"/>
  <c r="X59" i="1"/>
  <c r="X63" i="1" s="1"/>
  <c r="AG54" i="1"/>
  <c r="AG53" i="1"/>
  <c r="G54" i="1"/>
  <c r="H54" i="1"/>
  <c r="I54" i="1"/>
  <c r="J54" i="1"/>
  <c r="K54" i="1"/>
  <c r="L54" i="1"/>
  <c r="M54" i="1"/>
  <c r="N54" i="1"/>
  <c r="O54" i="1"/>
  <c r="P54" i="1"/>
  <c r="Q54" i="1"/>
  <c r="R54" i="1"/>
  <c r="S54" i="1"/>
  <c r="T54" i="1"/>
  <c r="U54" i="1"/>
  <c r="V54" i="1"/>
  <c r="W54" i="1"/>
  <c r="X54" i="1"/>
  <c r="Y54" i="1"/>
  <c r="H53" i="1"/>
  <c r="I53" i="1"/>
  <c r="J53" i="1"/>
  <c r="K53" i="1"/>
  <c r="L53" i="1"/>
  <c r="M53" i="1"/>
  <c r="N53" i="1"/>
  <c r="O53" i="1"/>
  <c r="P53" i="1"/>
  <c r="Q53" i="1"/>
  <c r="R53" i="1"/>
  <c r="S53" i="1"/>
  <c r="T53" i="1"/>
  <c r="U53" i="1"/>
  <c r="V53" i="1"/>
  <c r="W53" i="1"/>
  <c r="X53" i="1"/>
  <c r="Y53" i="1"/>
  <c r="AG56" i="1"/>
  <c r="Y56" i="1"/>
  <c r="X52" i="1"/>
  <c r="X56" i="1" s="1"/>
  <c r="AG47" i="1"/>
  <c r="AG46" i="1"/>
  <c r="G47" i="1"/>
  <c r="H47" i="1"/>
  <c r="I47" i="1"/>
  <c r="J47" i="1"/>
  <c r="K47" i="1"/>
  <c r="L47" i="1"/>
  <c r="M47" i="1"/>
  <c r="N47" i="1"/>
  <c r="O47" i="1"/>
  <c r="P47" i="1"/>
  <c r="Q47" i="1"/>
  <c r="R47" i="1"/>
  <c r="S47" i="1"/>
  <c r="T47" i="1"/>
  <c r="U47" i="1"/>
  <c r="V47" i="1"/>
  <c r="W47" i="1"/>
  <c r="X47" i="1"/>
  <c r="Y47" i="1"/>
  <c r="G46" i="1"/>
  <c r="H46" i="1"/>
  <c r="I46" i="1"/>
  <c r="J46" i="1"/>
  <c r="K46" i="1"/>
  <c r="L46" i="1"/>
  <c r="M46" i="1"/>
  <c r="N46" i="1"/>
  <c r="O46" i="1"/>
  <c r="P46" i="1"/>
  <c r="Q46" i="1"/>
  <c r="R46" i="1"/>
  <c r="S46" i="1"/>
  <c r="T46" i="1"/>
  <c r="U46" i="1"/>
  <c r="V46" i="1"/>
  <c r="W46" i="1"/>
  <c r="X46" i="1"/>
  <c r="Y46" i="1"/>
  <c r="AG49" i="1"/>
  <c r="Y49" i="1"/>
  <c r="X45" i="1"/>
  <c r="X49" i="1" s="1"/>
  <c r="AG40" i="1"/>
  <c r="AG39" i="1"/>
  <c r="G40" i="1"/>
  <c r="H40" i="1"/>
  <c r="I40" i="1"/>
  <c r="J40" i="1"/>
  <c r="K40" i="1"/>
  <c r="L40" i="1"/>
  <c r="M40" i="1"/>
  <c r="N40" i="1"/>
  <c r="O40" i="1"/>
  <c r="P40" i="1"/>
  <c r="Q40" i="1"/>
  <c r="R40" i="1"/>
  <c r="S40" i="1"/>
  <c r="T40" i="1"/>
  <c r="U40" i="1"/>
  <c r="V40" i="1"/>
  <c r="W40" i="1"/>
  <c r="X40" i="1"/>
  <c r="Y40" i="1"/>
  <c r="G39" i="1"/>
  <c r="H39" i="1"/>
  <c r="I39" i="1"/>
  <c r="J39" i="1"/>
  <c r="K39" i="1"/>
  <c r="L39" i="1"/>
  <c r="M39" i="1"/>
  <c r="N39" i="1"/>
  <c r="O39" i="1"/>
  <c r="P39" i="1"/>
  <c r="Q39" i="1"/>
  <c r="R39" i="1"/>
  <c r="S39" i="1"/>
  <c r="T39" i="1"/>
  <c r="U39" i="1"/>
  <c r="V39" i="1"/>
  <c r="W39" i="1"/>
  <c r="X39" i="1"/>
  <c r="Y39" i="1"/>
  <c r="AG42" i="1"/>
  <c r="Y42" i="1"/>
  <c r="X38" i="1"/>
  <c r="X42" i="1" s="1"/>
  <c r="AG33" i="1"/>
  <c r="AG32" i="1"/>
  <c r="G33" i="1"/>
  <c r="H33" i="1"/>
  <c r="I33" i="1"/>
  <c r="J33" i="1"/>
  <c r="K33" i="1"/>
  <c r="L33" i="1"/>
  <c r="M33" i="1"/>
  <c r="N33" i="1"/>
  <c r="O33" i="1"/>
  <c r="P33" i="1"/>
  <c r="Q33" i="1"/>
  <c r="R33" i="1"/>
  <c r="S33" i="1"/>
  <c r="T33" i="1"/>
  <c r="U33" i="1"/>
  <c r="V33" i="1"/>
  <c r="W33" i="1"/>
  <c r="X33" i="1"/>
  <c r="Y33" i="1"/>
  <c r="G32" i="1"/>
  <c r="H32" i="1"/>
  <c r="I32" i="1"/>
  <c r="J32" i="1"/>
  <c r="K32" i="1"/>
  <c r="L32" i="1"/>
  <c r="M32" i="1"/>
  <c r="N32" i="1"/>
  <c r="O32" i="1"/>
  <c r="P32" i="1"/>
  <c r="Q32" i="1"/>
  <c r="R32" i="1"/>
  <c r="S32" i="1"/>
  <c r="T32" i="1"/>
  <c r="U32" i="1"/>
  <c r="V32" i="1"/>
  <c r="W32" i="1"/>
  <c r="X32" i="1"/>
  <c r="Y32" i="1"/>
  <c r="AG35" i="1"/>
  <c r="X31" i="1"/>
  <c r="Y35" i="1"/>
  <c r="AG26" i="1"/>
  <c r="AG25" i="1"/>
  <c r="X24" i="1"/>
  <c r="W24" i="1" s="1"/>
  <c r="G26" i="1"/>
  <c r="H26" i="1"/>
  <c r="I26" i="1"/>
  <c r="J26" i="1"/>
  <c r="K26" i="1"/>
  <c r="L26" i="1"/>
  <c r="M26" i="1"/>
  <c r="N26" i="1"/>
  <c r="O26" i="1"/>
  <c r="P26" i="1"/>
  <c r="Q26" i="1"/>
  <c r="R26" i="1"/>
  <c r="S26" i="1"/>
  <c r="T26" i="1"/>
  <c r="U26" i="1"/>
  <c r="V26" i="1"/>
  <c r="W26" i="1"/>
  <c r="X26" i="1"/>
  <c r="Y26" i="1"/>
  <c r="H25" i="1"/>
  <c r="I25" i="1"/>
  <c r="J25" i="1"/>
  <c r="K25" i="1"/>
  <c r="L25" i="1"/>
  <c r="M25" i="1"/>
  <c r="N25" i="1"/>
  <c r="O25" i="1"/>
  <c r="P25" i="1"/>
  <c r="Q25" i="1"/>
  <c r="R25" i="1"/>
  <c r="S25" i="1"/>
  <c r="T25" i="1"/>
  <c r="U25" i="1"/>
  <c r="V25" i="1"/>
  <c r="W25" i="1"/>
  <c r="X25" i="1"/>
  <c r="Y25" i="1"/>
  <c r="AG28" i="1"/>
  <c r="Y28" i="1"/>
  <c r="C1" i="1"/>
  <c r="AG19" i="1"/>
  <c r="C4" i="1"/>
  <c r="AG18" i="1" s="1"/>
  <c r="AG21" i="1" s="1"/>
  <c r="H19" i="1"/>
  <c r="I19" i="1"/>
  <c r="J19" i="1"/>
  <c r="K19" i="1"/>
  <c r="L19" i="1"/>
  <c r="M19" i="1"/>
  <c r="N19" i="1"/>
  <c r="O19" i="1"/>
  <c r="P19" i="1"/>
  <c r="Q19" i="1"/>
  <c r="R19" i="1"/>
  <c r="S19" i="1"/>
  <c r="T19" i="1"/>
  <c r="U19" i="1"/>
  <c r="V19" i="1"/>
  <c r="W19" i="1"/>
  <c r="X19" i="1"/>
  <c r="Y19" i="1"/>
  <c r="K18" i="1"/>
  <c r="P18" i="1"/>
  <c r="U18" i="1"/>
  <c r="AA63" i="1"/>
  <c r="AA56" i="1"/>
  <c r="AA49" i="1"/>
  <c r="AA42" i="1"/>
  <c r="AA35" i="1"/>
  <c r="G5" i="1"/>
  <c r="AA21" i="1"/>
  <c r="G3" i="1"/>
  <c r="H3" i="1"/>
  <c r="G4" i="1"/>
  <c r="G18" i="1" l="1"/>
  <c r="G53" i="1"/>
  <c r="W59" i="1"/>
  <c r="W52" i="1"/>
  <c r="W45" i="1"/>
  <c r="W38" i="1"/>
  <c r="G19" i="1"/>
  <c r="G25" i="1"/>
  <c r="X35" i="1"/>
  <c r="W31" i="1"/>
  <c r="V24" i="1"/>
  <c r="T24" i="1" s="1"/>
  <c r="W28" i="1"/>
  <c r="X28" i="1"/>
  <c r="V28" i="1"/>
  <c r="C2" i="1"/>
  <c r="C5" i="1" s="1"/>
  <c r="H4" i="1"/>
  <c r="I4" i="1"/>
  <c r="J4" i="1"/>
  <c r="L4" i="1"/>
  <c r="M4" i="1"/>
  <c r="N4" i="1"/>
  <c r="O4" i="1"/>
  <c r="Q4" i="1"/>
  <c r="R4" i="1"/>
  <c r="S4" i="1"/>
  <c r="T4" i="1"/>
  <c r="V4" i="1"/>
  <c r="W4" i="1"/>
  <c r="X4" i="1"/>
  <c r="Y4" i="1"/>
  <c r="H5" i="1"/>
  <c r="I5" i="1"/>
  <c r="J5" i="1"/>
  <c r="L5" i="1"/>
  <c r="M5" i="1"/>
  <c r="N5" i="1"/>
  <c r="O5" i="1"/>
  <c r="Q5" i="1"/>
  <c r="R5" i="1"/>
  <c r="S5" i="1"/>
  <c r="T5" i="1"/>
  <c r="V5" i="1"/>
  <c r="W5" i="1"/>
  <c r="X5" i="1"/>
  <c r="Y5" i="1"/>
  <c r="J58" i="1" l="1"/>
  <c r="J23" i="1"/>
  <c r="W63" i="1"/>
  <c r="V59" i="1"/>
  <c r="W56" i="1"/>
  <c r="V52" i="1"/>
  <c r="V45" i="1"/>
  <c r="W49" i="1"/>
  <c r="V38" i="1"/>
  <c r="W42" i="1"/>
  <c r="W35" i="1"/>
  <c r="V31" i="1"/>
  <c r="S24" i="1"/>
  <c r="T28" i="1"/>
  <c r="Y18" i="1"/>
  <c r="X18" i="1"/>
  <c r="W18" i="1"/>
  <c r="V18" i="1"/>
  <c r="T18" i="1"/>
  <c r="S18" i="1"/>
  <c r="R18" i="1"/>
  <c r="Q18" i="1"/>
  <c r="O18" i="1"/>
  <c r="N18" i="1"/>
  <c r="M18" i="1"/>
  <c r="L18" i="1"/>
  <c r="J18" i="1"/>
  <c r="I18" i="1"/>
  <c r="H18" i="1"/>
  <c r="C10" i="1"/>
  <c r="C6" i="1"/>
  <c r="C11" i="1"/>
  <c r="C8" i="1"/>
  <c r="G10" i="1"/>
  <c r="H10" i="1"/>
  <c r="I10" i="1"/>
  <c r="J10" i="1"/>
  <c r="L10" i="1"/>
  <c r="M10" i="1"/>
  <c r="N10" i="1"/>
  <c r="O10" i="1"/>
  <c r="Q10" i="1"/>
  <c r="R10" i="1"/>
  <c r="S10" i="1"/>
  <c r="T10" i="1"/>
  <c r="V10" i="1"/>
  <c r="W10" i="1"/>
  <c r="X10" i="1"/>
  <c r="Y10" i="1"/>
  <c r="G6" i="1"/>
  <c r="H6" i="1"/>
  <c r="I6" i="1"/>
  <c r="J6" i="1"/>
  <c r="L6" i="1"/>
  <c r="M6" i="1"/>
  <c r="N6" i="1"/>
  <c r="O6" i="1"/>
  <c r="Q6" i="1"/>
  <c r="R6" i="1"/>
  <c r="S6" i="1"/>
  <c r="T6" i="1"/>
  <c r="V6" i="1"/>
  <c r="W6" i="1"/>
  <c r="X6" i="1"/>
  <c r="Y6" i="1"/>
  <c r="G11" i="1"/>
  <c r="J11" i="1"/>
  <c r="H11" i="1"/>
  <c r="I11" i="1"/>
  <c r="L11" i="1"/>
  <c r="M11" i="1"/>
  <c r="N11" i="1"/>
  <c r="O11" i="1"/>
  <c r="Q11" i="1"/>
  <c r="R11" i="1"/>
  <c r="S11" i="1"/>
  <c r="T11" i="1"/>
  <c r="V11" i="1"/>
  <c r="W11" i="1"/>
  <c r="X11" i="1"/>
  <c r="Y11" i="1"/>
  <c r="G8" i="1"/>
  <c r="H8" i="1"/>
  <c r="I8" i="1"/>
  <c r="J8" i="1"/>
  <c r="L8" i="1"/>
  <c r="M8" i="1"/>
  <c r="N8" i="1"/>
  <c r="O8" i="1"/>
  <c r="Q8" i="1"/>
  <c r="R8" i="1"/>
  <c r="S8" i="1"/>
  <c r="T8" i="1"/>
  <c r="V8" i="1"/>
  <c r="W8" i="1"/>
  <c r="X8" i="1"/>
  <c r="Y8" i="1"/>
  <c r="V63" i="1" l="1"/>
  <c r="T59" i="1"/>
  <c r="V56" i="1"/>
  <c r="T52" i="1"/>
  <c r="V49" i="1"/>
  <c r="T45" i="1"/>
  <c r="V42" i="1"/>
  <c r="T38" i="1"/>
  <c r="V35" i="1"/>
  <c r="T31" i="1"/>
  <c r="R24" i="1"/>
  <c r="S28" i="1"/>
  <c r="X17" i="1"/>
  <c r="Y21" i="1"/>
  <c r="C14" i="1"/>
  <c r="C12" i="1"/>
  <c r="C7" i="1"/>
  <c r="H14" i="1"/>
  <c r="G7" i="1"/>
  <c r="I7" i="1"/>
  <c r="H7" i="1"/>
  <c r="J7" i="1"/>
  <c r="L7" i="1"/>
  <c r="M7" i="1"/>
  <c r="N7" i="1"/>
  <c r="O7" i="1"/>
  <c r="Q7" i="1"/>
  <c r="R7" i="1"/>
  <c r="S7" i="1"/>
  <c r="T7" i="1"/>
  <c r="V7" i="1"/>
  <c r="W7" i="1"/>
  <c r="X7" i="1"/>
  <c r="Y7" i="1"/>
  <c r="H12" i="1"/>
  <c r="G12" i="1"/>
  <c r="I12" i="1"/>
  <c r="J12" i="1"/>
  <c r="L12" i="1"/>
  <c r="M12" i="1"/>
  <c r="N12" i="1"/>
  <c r="O12" i="1"/>
  <c r="Q12" i="1"/>
  <c r="R12" i="1"/>
  <c r="S12" i="1"/>
  <c r="T12" i="1"/>
  <c r="V12" i="1"/>
  <c r="W12" i="1"/>
  <c r="X12" i="1"/>
  <c r="T63" i="1" l="1"/>
  <c r="S59" i="1"/>
  <c r="T56" i="1"/>
  <c r="S52" i="1"/>
  <c r="T49" i="1"/>
  <c r="S45" i="1"/>
  <c r="T42" i="1"/>
  <c r="S38" i="1"/>
  <c r="T35" i="1"/>
  <c r="S31" i="1"/>
  <c r="Q24" i="1"/>
  <c r="R28" i="1"/>
  <c r="X21" i="1"/>
  <c r="W17" i="1"/>
  <c r="C13" i="1"/>
  <c r="L13" i="1"/>
  <c r="M13" i="1"/>
  <c r="N13" i="1"/>
  <c r="O13" i="1"/>
  <c r="Q13" i="1"/>
  <c r="R13" i="1"/>
  <c r="S13" i="1"/>
  <c r="T13" i="1"/>
  <c r="V13" i="1"/>
  <c r="W13" i="1"/>
  <c r="X13" i="1"/>
  <c r="I13" i="1"/>
  <c r="J13" i="1"/>
  <c r="H13" i="1"/>
  <c r="Y13" i="1"/>
  <c r="G13" i="1"/>
  <c r="Y12" i="1"/>
  <c r="G14" i="1"/>
  <c r="I14" i="1"/>
  <c r="J14" i="1"/>
  <c r="L14" i="1"/>
  <c r="M14" i="1"/>
  <c r="N14" i="1"/>
  <c r="O14" i="1"/>
  <c r="Q14" i="1"/>
  <c r="R14" i="1"/>
  <c r="S14" i="1"/>
  <c r="T14" i="1"/>
  <c r="V14" i="1"/>
  <c r="W14" i="1"/>
  <c r="X14" i="1"/>
  <c r="S63" i="1" l="1"/>
  <c r="R59" i="1"/>
  <c r="S56" i="1"/>
  <c r="R52" i="1"/>
  <c r="S49" i="1"/>
  <c r="R45" i="1"/>
  <c r="S42" i="1"/>
  <c r="R38" i="1"/>
  <c r="S35" i="1"/>
  <c r="R31" i="1"/>
  <c r="O24" i="1"/>
  <c r="Q28" i="1"/>
  <c r="V17" i="1"/>
  <c r="W21" i="1"/>
  <c r="C9" i="1"/>
  <c r="Y14" i="1"/>
  <c r="H9" i="1"/>
  <c r="I9" i="1"/>
  <c r="J9" i="1"/>
  <c r="L9" i="1"/>
  <c r="M9" i="1"/>
  <c r="N9" i="1"/>
  <c r="O9" i="1"/>
  <c r="Q9" i="1"/>
  <c r="R9" i="1"/>
  <c r="S9" i="1"/>
  <c r="T9" i="1"/>
  <c r="V9" i="1"/>
  <c r="W9" i="1"/>
  <c r="X9" i="1"/>
  <c r="Y9" i="1"/>
  <c r="G9" i="1"/>
  <c r="Q59" i="1" l="1"/>
  <c r="R63" i="1"/>
  <c r="Q52" i="1"/>
  <c r="R56" i="1"/>
  <c r="Q45" i="1"/>
  <c r="R49" i="1"/>
  <c r="Q38" i="1"/>
  <c r="R42" i="1"/>
  <c r="Q31" i="1"/>
  <c r="R35" i="1"/>
  <c r="N24" i="1"/>
  <c r="O28" i="1"/>
  <c r="T17" i="1"/>
  <c r="V21" i="1"/>
  <c r="C15" i="1"/>
  <c r="G15" i="1"/>
  <c r="I15" i="1"/>
  <c r="J15" i="1"/>
  <c r="H15" i="1"/>
  <c r="L15" i="1"/>
  <c r="M15" i="1"/>
  <c r="N15" i="1"/>
  <c r="O15" i="1"/>
  <c r="Q15" i="1"/>
  <c r="R15" i="1"/>
  <c r="S15" i="1"/>
  <c r="T15" i="1"/>
  <c r="V15" i="1"/>
  <c r="W15" i="1"/>
  <c r="X15" i="1"/>
  <c r="Y15" i="1"/>
  <c r="O59" i="1" l="1"/>
  <c r="Q63" i="1"/>
  <c r="O52" i="1"/>
  <c r="Q56" i="1"/>
  <c r="O45" i="1"/>
  <c r="Q49" i="1"/>
  <c r="O38" i="1"/>
  <c r="Q42" i="1"/>
  <c r="O31" i="1"/>
  <c r="Q35" i="1"/>
  <c r="M24" i="1"/>
  <c r="N28" i="1"/>
  <c r="T21" i="1"/>
  <c r="S17" i="1"/>
  <c r="N59" i="1" l="1"/>
  <c r="O63" i="1"/>
  <c r="N52" i="1"/>
  <c r="O56" i="1"/>
  <c r="N45" i="1"/>
  <c r="O49" i="1"/>
  <c r="N38" i="1"/>
  <c r="O42" i="1"/>
  <c r="N31" i="1"/>
  <c r="O35" i="1"/>
  <c r="L24" i="1"/>
  <c r="M28" i="1"/>
  <c r="R17" i="1"/>
  <c r="S21" i="1"/>
  <c r="M59" i="1" l="1"/>
  <c r="N63" i="1"/>
  <c r="M52" i="1"/>
  <c r="N56" i="1"/>
  <c r="M45" i="1"/>
  <c r="N49" i="1"/>
  <c r="M38" i="1"/>
  <c r="N42" i="1"/>
  <c r="M31" i="1"/>
  <c r="N35" i="1"/>
  <c r="J24" i="1"/>
  <c r="L28" i="1"/>
  <c r="Q17" i="1"/>
  <c r="R21" i="1"/>
  <c r="L59" i="1" l="1"/>
  <c r="M63" i="1"/>
  <c r="L52" i="1"/>
  <c r="M56" i="1"/>
  <c r="L45" i="1"/>
  <c r="M49" i="1"/>
  <c r="L38" i="1"/>
  <c r="M42" i="1"/>
  <c r="L31" i="1"/>
  <c r="M35" i="1"/>
  <c r="I24" i="1"/>
  <c r="J28" i="1"/>
  <c r="Q21" i="1"/>
  <c r="O17" i="1"/>
  <c r="J59" i="1" l="1"/>
  <c r="L63" i="1"/>
  <c r="J52" i="1"/>
  <c r="L56" i="1"/>
  <c r="J45" i="1"/>
  <c r="L49" i="1"/>
  <c r="J38" i="1"/>
  <c r="L42" i="1"/>
  <c r="J31" i="1"/>
  <c r="L35" i="1"/>
  <c r="H24" i="1"/>
  <c r="I28" i="1"/>
  <c r="N17" i="1"/>
  <c r="O21" i="1"/>
  <c r="I59" i="1" l="1"/>
  <c r="J63" i="1"/>
  <c r="I52" i="1"/>
  <c r="J56" i="1"/>
  <c r="J49" i="1"/>
  <c r="I45" i="1"/>
  <c r="I38" i="1"/>
  <c r="J42" i="1"/>
  <c r="I31" i="1"/>
  <c r="J35" i="1"/>
  <c r="G24" i="1"/>
  <c r="G28" i="1" s="1"/>
  <c r="H28" i="1"/>
  <c r="M17" i="1"/>
  <c r="N21" i="1"/>
  <c r="H59" i="1" l="1"/>
  <c r="I63" i="1"/>
  <c r="H52" i="1"/>
  <c r="I56" i="1"/>
  <c r="H45" i="1"/>
  <c r="I49" i="1"/>
  <c r="H38" i="1"/>
  <c r="I42" i="1"/>
  <c r="H31" i="1"/>
  <c r="I35" i="1"/>
  <c r="L17" i="1"/>
  <c r="M21" i="1"/>
  <c r="H63" i="1" l="1"/>
  <c r="G59" i="1"/>
  <c r="G63" i="1" s="1"/>
  <c r="H56" i="1"/>
  <c r="G52" i="1"/>
  <c r="G56" i="1" s="1"/>
  <c r="AD58" i="1" s="1"/>
  <c r="H49" i="1"/>
  <c r="G45" i="1"/>
  <c r="G49" i="1" s="1"/>
  <c r="H42" i="1"/>
  <c r="G38" i="1"/>
  <c r="G42" i="1" s="1"/>
  <c r="H35" i="1"/>
  <c r="G31" i="1"/>
  <c r="G35" i="1" s="1"/>
  <c r="L21" i="1"/>
  <c r="J17" i="1"/>
  <c r="I17" i="1" l="1"/>
  <c r="J21" i="1"/>
  <c r="H17" i="1" l="1"/>
  <c r="I21" i="1"/>
  <c r="G17" i="1" l="1"/>
  <c r="G21" i="1" s="1"/>
  <c r="AD23" i="1" s="1"/>
  <c r="H21" i="1"/>
</calcChain>
</file>

<file path=xl/sharedStrings.xml><?xml version="1.0" encoding="utf-8"?>
<sst xmlns="http://schemas.openxmlformats.org/spreadsheetml/2006/main" count="388" uniqueCount="76">
  <si>
    <t>A=</t>
  </si>
  <si>
    <t>X1=</t>
  </si>
  <si>
    <t>X2=</t>
  </si>
  <si>
    <t>X3=</t>
  </si>
  <si>
    <t>X4=</t>
  </si>
  <si>
    <t>X5=</t>
  </si>
  <si>
    <t>X6=</t>
  </si>
  <si>
    <t>X7=</t>
  </si>
  <si>
    <t>X8=</t>
  </si>
  <si>
    <t>X9=</t>
  </si>
  <si>
    <t>X10=</t>
  </si>
  <si>
    <t>X11=</t>
  </si>
  <si>
    <t>X12=</t>
  </si>
  <si>
    <t>C=</t>
  </si>
  <si>
    <t>A + C=</t>
  </si>
  <si>
    <t>A + C + C=</t>
  </si>
  <si>
    <t>C - A=</t>
  </si>
  <si>
    <t>65536-X4=</t>
  </si>
  <si>
    <t>-X1=</t>
  </si>
  <si>
    <t>-X2=</t>
  </si>
  <si>
    <t>-X3=</t>
  </si>
  <si>
    <t>-X4=</t>
  </si>
  <si>
    <t>-X5=</t>
  </si>
  <si>
    <t>-X6=</t>
  </si>
  <si>
    <t>B1=</t>
  </si>
  <si>
    <t>B2=</t>
  </si>
  <si>
    <t>B3=</t>
  </si>
  <si>
    <t>B4=</t>
  </si>
  <si>
    <t>B5=</t>
  </si>
  <si>
    <t>B6=</t>
  </si>
  <si>
    <t>B7=</t>
  </si>
  <si>
    <t>B8=</t>
  </si>
  <si>
    <t>B9=</t>
  </si>
  <si>
    <t>B10=</t>
  </si>
  <si>
    <t>B11=</t>
  </si>
  <si>
    <t>B12=</t>
  </si>
  <si>
    <t>-B1=</t>
  </si>
  <si>
    <t>-B2=</t>
  </si>
  <si>
    <t>-B3=</t>
  </si>
  <si>
    <t>-B4=</t>
  </si>
  <si>
    <t>-B5=</t>
  </si>
  <si>
    <t>-B6=</t>
  </si>
  <si>
    <t>.</t>
  </si>
  <si>
    <r>
      <t>B1</t>
    </r>
    <r>
      <rPr>
        <vertAlign val="subscript"/>
        <sz val="11"/>
        <color theme="1"/>
        <rFont val="Calibri"/>
        <family val="2"/>
        <charset val="204"/>
        <scheme val="minor"/>
      </rPr>
      <t>2</t>
    </r>
  </si>
  <si>
    <r>
      <t>B2</t>
    </r>
    <r>
      <rPr>
        <vertAlign val="subscript"/>
        <sz val="11"/>
        <color theme="1"/>
        <rFont val="Calibri"/>
        <family val="2"/>
        <charset val="204"/>
        <scheme val="minor"/>
      </rPr>
      <t>2</t>
    </r>
  </si>
  <si>
    <t>+</t>
  </si>
  <si>
    <t>-------</t>
  </si>
  <si>
    <t>--</t>
  </si>
  <si>
    <r>
      <t>2</t>
    </r>
    <r>
      <rPr>
        <sz val="11"/>
        <color theme="1"/>
        <rFont val="Calibri"/>
        <family val="2"/>
        <charset val="204"/>
        <scheme val="minor"/>
      </rPr>
      <t>=</t>
    </r>
  </si>
  <si>
    <t>₁₀</t>
  </si>
  <si>
    <t>=</t>
  </si>
  <si>
    <r>
      <t>X1</t>
    </r>
    <r>
      <rPr>
        <vertAlign val="subscript"/>
        <sz val="11"/>
        <color theme="1"/>
        <rFont val="Calibri"/>
        <family val="2"/>
        <charset val="204"/>
        <scheme val="minor"/>
      </rPr>
      <t>10</t>
    </r>
  </si>
  <si>
    <r>
      <t>X2</t>
    </r>
    <r>
      <rPr>
        <vertAlign val="subscript"/>
        <sz val="11"/>
        <color theme="1"/>
        <rFont val="Calibri"/>
        <family val="2"/>
        <charset val="204"/>
        <scheme val="minor"/>
      </rPr>
      <t>10</t>
    </r>
  </si>
  <si>
    <t>------------</t>
  </si>
  <si>
    <t>---------</t>
  </si>
  <si>
    <r>
      <t>B3</t>
    </r>
    <r>
      <rPr>
        <vertAlign val="subscript"/>
        <sz val="11"/>
        <color theme="1"/>
        <rFont val="Calibri"/>
        <family val="2"/>
        <charset val="204"/>
        <scheme val="minor"/>
      </rPr>
      <t>2</t>
    </r>
  </si>
  <si>
    <r>
      <t>X3</t>
    </r>
    <r>
      <rPr>
        <vertAlign val="subscript"/>
        <sz val="11"/>
        <color theme="1"/>
        <rFont val="Calibri"/>
        <family val="2"/>
        <charset val="204"/>
        <scheme val="minor"/>
      </rPr>
      <t>10</t>
    </r>
  </si>
  <si>
    <r>
      <t>B7</t>
    </r>
    <r>
      <rPr>
        <vertAlign val="subscript"/>
        <sz val="11"/>
        <color theme="1"/>
        <rFont val="Calibri"/>
        <family val="2"/>
        <charset val="204"/>
        <scheme val="minor"/>
      </rPr>
      <t>2</t>
    </r>
  </si>
  <si>
    <r>
      <t>X7</t>
    </r>
    <r>
      <rPr>
        <vertAlign val="subscript"/>
        <sz val="11"/>
        <color theme="1"/>
        <rFont val="Calibri"/>
        <family val="2"/>
        <charset val="204"/>
        <scheme val="minor"/>
      </rPr>
      <t>10</t>
    </r>
  </si>
  <si>
    <t>CF =</t>
  </si>
  <si>
    <t>PF =</t>
  </si>
  <si>
    <t>AF =</t>
  </si>
  <si>
    <t>ZF =</t>
  </si>
  <si>
    <t>SF =</t>
  </si>
  <si>
    <t>OF=</t>
  </si>
  <si>
    <r>
      <t>B8</t>
    </r>
    <r>
      <rPr>
        <vertAlign val="subscript"/>
        <sz val="11"/>
        <color theme="1"/>
        <rFont val="Calibri"/>
        <family val="2"/>
        <charset val="204"/>
        <scheme val="minor"/>
      </rPr>
      <t>2</t>
    </r>
  </si>
  <si>
    <r>
      <t>X8</t>
    </r>
    <r>
      <rPr>
        <vertAlign val="subscript"/>
        <sz val="11"/>
        <color theme="1"/>
        <rFont val="Calibri"/>
        <family val="2"/>
        <charset val="204"/>
        <scheme val="minor"/>
      </rPr>
      <t>10</t>
    </r>
  </si>
  <si>
    <r>
      <t>B9</t>
    </r>
    <r>
      <rPr>
        <vertAlign val="subscript"/>
        <sz val="11"/>
        <color theme="1"/>
        <rFont val="Calibri"/>
        <family val="2"/>
        <charset val="204"/>
        <scheme val="minor"/>
      </rPr>
      <t>2</t>
    </r>
  </si>
  <si>
    <t>!=</t>
  </si>
  <si>
    <r>
      <t>X9</t>
    </r>
    <r>
      <rPr>
        <vertAlign val="subscript"/>
        <sz val="11"/>
        <color theme="1"/>
        <rFont val="Calibri"/>
        <family val="2"/>
        <charset val="204"/>
        <scheme val="minor"/>
      </rPr>
      <t>10</t>
    </r>
  </si>
  <si>
    <r>
      <t>B11</t>
    </r>
    <r>
      <rPr>
        <vertAlign val="subscript"/>
        <sz val="11"/>
        <color theme="1"/>
        <rFont val="Calibri"/>
        <family val="2"/>
        <charset val="204"/>
        <scheme val="minor"/>
      </rPr>
      <t>2</t>
    </r>
  </si>
  <si>
    <r>
      <t>X11</t>
    </r>
    <r>
      <rPr>
        <vertAlign val="subscript"/>
        <sz val="11"/>
        <color theme="1"/>
        <rFont val="Calibri"/>
        <family val="2"/>
        <charset val="204"/>
        <scheme val="minor"/>
      </rPr>
      <t>10</t>
    </r>
  </si>
  <si>
    <t>Результат корректный.</t>
  </si>
  <si>
    <t>При сложении положительных чисел получен отрицательный результат ПЕРЕПОЛЕНЕНИЕ!</t>
  </si>
  <si>
    <t>Результат корректный. Перенос из старшего разряда не учитывается.</t>
  </si>
  <si>
    <t>При сложении отрицательных чисел получен положительный результат ПЕРЕПОЛЕНЕНИЕ!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</si>
</sst>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;;;"/>
  </numFmts>
  <fonts count="3" x14ac:knownFonts="1">
    <font>
      <sz val="11"/>
      <color theme="1"/>
      <name val="Calibri"/>
      <family val="2"/>
      <charset val="204"/>
      <scheme val="minor"/>
    </font>
    <font>
      <vertAlign val="subscript"/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0">
    <xf numFmtId="0" fontId="0" fillId="0" borderId="0" xfId="0"/>
    <xf numFmtId="0" fontId="0" fillId="0" borderId="0" xfId="0" quotePrefix="1"/>
    <xf numFmtId="0" fontId="0" fillId="0" borderId="0" xfId="0" applyAlignment="1">
      <alignment horizontal="center" vertical="center"/>
    </xf>
    <xf numFmtId="0" fontId="0" fillId="0" borderId="0" xfId="0" applyAlignment="1">
      <alignment horizontal="right"/>
    </xf>
    <xf numFmtId="0" fontId="0" fillId="0" borderId="0" xfId="0" quotePrefix="1" applyAlignment="1">
      <alignment horizontal="right"/>
    </xf>
    <xf numFmtId="0" fontId="0" fillId="0" borderId="0" xfId="0" quotePrefix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0" fontId="1" fillId="0" borderId="0" xfId="0" applyFont="1"/>
    <xf numFmtId="0" fontId="2" fillId="0" borderId="0" xfId="0" applyFont="1"/>
    <xf numFmtId="0" fontId="0" fillId="0" borderId="0" xfId="0" applyAlignment="1">
      <alignment horizontal="right" vertical="center"/>
    </xf>
    <xf numFmtId="0" fontId="0" fillId="0" borderId="0" xfId="0" quotePrefix="1" applyAlignment="1">
      <alignment horizontal="right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0" borderId="0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0" fillId="0" borderId="8" xfId="0" applyBorder="1" applyAlignment="1">
      <alignment horizontal="center" vertical="center" wrapText="1"/>
    </xf>
    <xf numFmtId="0" fontId="0" fillId="0" borderId="0" xfId="0" applyAlignment="1">
      <alignment horizontal="center" vertical="center"/>
    </xf>
  </cellXfs>
  <cellStyles count="1">
    <cellStyle name="Обычный" xfId="0" builtinId="0"/>
  </cellStyles>
  <dxfs count="12"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AL65"/>
  <sheetViews>
    <sheetView tabSelected="1" zoomScale="175" zoomScaleNormal="175" workbookViewId="0">
      <selection activeCell="AB13" sqref="AB13"/>
    </sheetView>
  </sheetViews>
  <sheetFormatPr defaultRowHeight="15" x14ac:dyDescent="0.25"/>
  <cols>
    <col min="1" max="1" width="5.5703125" customWidth="1"/>
    <col min="2" max="2" width="10.140625" customWidth="1"/>
    <col min="3" max="3" width="8.7109375" customWidth="1"/>
    <col min="4" max="4" width="2.85546875" customWidth="1"/>
    <col min="5" max="6" width="5" customWidth="1"/>
    <col min="7" max="25" width="2.140625" style="2" customWidth="1"/>
    <col min="26" max="26" width="2.42578125" customWidth="1"/>
    <col min="27" max="27" width="7.5703125" customWidth="1"/>
    <col min="28" max="28" width="3.140625" customWidth="1"/>
    <col min="29" max="29" width="6.140625" style="3" customWidth="1"/>
    <col min="30" max="30" width="3.7109375" customWidth="1"/>
    <col min="31" max="31" width="8.28515625" customWidth="1"/>
    <col min="32" max="32" width="6.42578125" customWidth="1"/>
    <col min="33" max="33" width="7.7109375" customWidth="1"/>
  </cols>
  <sheetData>
    <row r="1" spans="1:25" x14ac:dyDescent="0.25">
      <c r="A1" s="3"/>
      <c r="B1" s="3" t="s">
        <v>0</v>
      </c>
      <c r="C1" s="3">
        <f>755</f>
        <v>755</v>
      </c>
      <c r="D1" s="3"/>
      <c r="E1" s="3"/>
      <c r="F1" s="3"/>
    </row>
    <row r="2" spans="1:25" x14ac:dyDescent="0.25">
      <c r="A2" s="3"/>
      <c r="B2" s="3" t="s">
        <v>13</v>
      </c>
      <c r="C2" s="3">
        <f>16703</f>
        <v>16703</v>
      </c>
      <c r="D2" s="3"/>
      <c r="E2" s="3"/>
      <c r="F2" s="3"/>
    </row>
    <row r="3" spans="1:25" x14ac:dyDescent="0.25">
      <c r="A3" s="3"/>
      <c r="B3" s="3"/>
      <c r="C3" s="3"/>
      <c r="D3" s="3"/>
      <c r="E3" s="3"/>
      <c r="F3" s="3"/>
      <c r="G3" s="6" t="str">
        <f>MID(ToBinaryString(0), 16, 1)</f>
        <v>0</v>
      </c>
      <c r="H3" s="6" t="str">
        <f>MID(ToBinaryString(1), 16, 1)</f>
        <v>1</v>
      </c>
    </row>
    <row r="4" spans="1:25" x14ac:dyDescent="0.25">
      <c r="A4" s="3" t="s">
        <v>1</v>
      </c>
      <c r="B4" s="3" t="s">
        <v>0</v>
      </c>
      <c r="C4" s="3">
        <f>C1</f>
        <v>755</v>
      </c>
      <c r="D4" s="3"/>
      <c r="E4" s="3" t="s">
        <v>24</v>
      </c>
      <c r="F4" s="3"/>
      <c r="G4" s="2" t="str">
        <f>MID(ToBinaryString(C4), 1, 1)</f>
        <v>0</v>
      </c>
      <c r="H4" s="2" t="str">
        <f t="shared" ref="H4:H15" si="0">MID(ToBinaryString(C4), 2, 1)</f>
        <v>0</v>
      </c>
      <c r="I4" s="2" t="str">
        <f t="shared" ref="I4:I15" si="1">MID(ToBinaryString(C4), 3, 1)</f>
        <v>0</v>
      </c>
      <c r="J4" s="2" t="str">
        <f t="shared" ref="J4:J15" si="2">MID(ToBinaryString(C4), 4, 1)</f>
        <v>0</v>
      </c>
      <c r="K4" s="2" t="s">
        <v>42</v>
      </c>
      <c r="L4" s="2" t="str">
        <f>MID(ToBinaryString(C4), 5, 1)</f>
        <v>0</v>
      </c>
      <c r="M4" s="2" t="str">
        <f>MID(ToBinaryString(C4), 6, 1)</f>
        <v>0</v>
      </c>
      <c r="N4" s="2" t="str">
        <f>MID(ToBinaryString(C4), 7, 1)</f>
        <v>1</v>
      </c>
      <c r="O4" s="2" t="str">
        <f>MID(ToBinaryString(C4), 8, 1)</f>
        <v>0</v>
      </c>
      <c r="P4" s="2" t="s">
        <v>42</v>
      </c>
      <c r="Q4" s="2" t="str">
        <f>MID(ToBinaryString(C4), 9, 1)</f>
        <v>1</v>
      </c>
      <c r="R4" s="2" t="str">
        <f t="shared" ref="R4:R15" si="3">MID(ToBinaryString(C4), 10, 1)</f>
        <v>1</v>
      </c>
      <c r="S4" s="2" t="str">
        <f>MID(ToBinaryString(C4), 11, 1)</f>
        <v>1</v>
      </c>
      <c r="T4" s="2" t="str">
        <f>MID(ToBinaryString(C4), 12, 1)</f>
        <v>1</v>
      </c>
      <c r="U4" s="2" t="s">
        <v>42</v>
      </c>
      <c r="V4" s="2" t="str">
        <f>MID(ToBinaryString(C4), 13, 1)</f>
        <v>0</v>
      </c>
      <c r="W4" s="2" t="str">
        <f>MID(ToBinaryString(C4), 14, 1)</f>
        <v>0</v>
      </c>
      <c r="X4" s="2" t="str">
        <f t="shared" ref="X4:X15" si="4">MID(ToBinaryString(C4), 15, 1)</f>
        <v>1</v>
      </c>
      <c r="Y4" s="2" t="str">
        <f t="shared" ref="Y4:Y15" si="5">MID(ToBinaryString(C4), 16, 1)</f>
        <v>1</v>
      </c>
    </row>
    <row r="5" spans="1:25" x14ac:dyDescent="0.25">
      <c r="A5" s="3" t="s">
        <v>2</v>
      </c>
      <c r="B5" s="3" t="s">
        <v>13</v>
      </c>
      <c r="C5" s="3">
        <f>C2</f>
        <v>16703</v>
      </c>
      <c r="D5" s="3"/>
      <c r="E5" s="3" t="s">
        <v>25</v>
      </c>
      <c r="F5" s="3"/>
      <c r="G5" s="2" t="str">
        <f t="shared" ref="G3:G15" si="6">MID(ToBinaryString(C5), 1, 1)</f>
        <v>0</v>
      </c>
      <c r="H5" s="2" t="str">
        <f t="shared" si="0"/>
        <v>1</v>
      </c>
      <c r="I5" s="2" t="str">
        <f t="shared" si="1"/>
        <v>0</v>
      </c>
      <c r="J5" s="2" t="str">
        <f t="shared" si="2"/>
        <v>0</v>
      </c>
      <c r="K5" s="2" t="s">
        <v>42</v>
      </c>
      <c r="L5" s="2" t="str">
        <f>MID(ToBinaryString(C5), 5, 1)</f>
        <v>0</v>
      </c>
      <c r="M5" s="2" t="str">
        <f>MID(ToBinaryString(C5), 6, 1)</f>
        <v>0</v>
      </c>
      <c r="N5" s="2" t="str">
        <f>MID(ToBinaryString(C5), 7, 1)</f>
        <v>0</v>
      </c>
      <c r="O5" s="2" t="str">
        <f>MID(ToBinaryString(C5), 8, 1)</f>
        <v>1</v>
      </c>
      <c r="P5" s="2" t="s">
        <v>42</v>
      </c>
      <c r="Q5" s="2" t="str">
        <f>MID(ToBinaryString(C5), 9, 1)</f>
        <v>0</v>
      </c>
      <c r="R5" s="2" t="str">
        <f t="shared" si="3"/>
        <v>0</v>
      </c>
      <c r="S5" s="2" t="str">
        <f>MID(ToBinaryString(C5), 11, 1)</f>
        <v>1</v>
      </c>
      <c r="T5" s="2" t="str">
        <f>MID(ToBinaryString(C5), 12, 1)</f>
        <v>1</v>
      </c>
      <c r="U5" s="2" t="s">
        <v>42</v>
      </c>
      <c r="V5" s="2" t="str">
        <f>MID(ToBinaryString(C5), 13, 1)</f>
        <v>1</v>
      </c>
      <c r="W5" s="2" t="str">
        <f>MID(ToBinaryString(C5), 14, 1)</f>
        <v>1</v>
      </c>
      <c r="X5" s="2" t="str">
        <f t="shared" si="4"/>
        <v>1</v>
      </c>
      <c r="Y5" s="2" t="str">
        <f t="shared" si="5"/>
        <v>1</v>
      </c>
    </row>
    <row r="6" spans="1:25" x14ac:dyDescent="0.25">
      <c r="A6" s="3" t="s">
        <v>3</v>
      </c>
      <c r="B6" s="3" t="s">
        <v>14</v>
      </c>
      <c r="C6" s="3">
        <f>C4+C5</f>
        <v>17458</v>
      </c>
      <c r="D6" s="3"/>
      <c r="E6" s="3" t="s">
        <v>26</v>
      </c>
      <c r="F6" s="3"/>
      <c r="G6" s="2" t="str">
        <f t="shared" si="6"/>
        <v>0</v>
      </c>
      <c r="H6" s="2" t="str">
        <f t="shared" si="0"/>
        <v>1</v>
      </c>
      <c r="I6" s="2" t="str">
        <f t="shared" si="1"/>
        <v>0</v>
      </c>
      <c r="J6" s="2" t="str">
        <f t="shared" si="2"/>
        <v>0</v>
      </c>
      <c r="K6" s="2" t="s">
        <v>42</v>
      </c>
      <c r="L6" s="2" t="str">
        <f t="shared" ref="L6:L15" si="7">MID(ToBinaryString(C6), 5, 1)</f>
        <v>0</v>
      </c>
      <c r="M6" s="2" t="str">
        <f t="shared" ref="M6:M15" si="8">MID(ToBinaryString(C6), 6, 1)</f>
        <v>1</v>
      </c>
      <c r="N6" s="2" t="str">
        <f t="shared" ref="N6:N15" si="9">MID(ToBinaryString(C6), 7, 1)</f>
        <v>0</v>
      </c>
      <c r="O6" s="2" t="str">
        <f t="shared" ref="O6:O15" si="10">MID(ToBinaryString(C6), 8, 1)</f>
        <v>0</v>
      </c>
      <c r="P6" s="2" t="s">
        <v>42</v>
      </c>
      <c r="Q6" s="2" t="str">
        <f t="shared" ref="Q6:Q15" si="11">MID(ToBinaryString(C6), 9, 1)</f>
        <v>0</v>
      </c>
      <c r="R6" s="2" t="str">
        <f t="shared" si="3"/>
        <v>0</v>
      </c>
      <c r="S6" s="2" t="str">
        <f t="shared" ref="S6:S15" si="12">MID(ToBinaryString(C6), 11, 1)</f>
        <v>1</v>
      </c>
      <c r="T6" s="2" t="str">
        <f t="shared" ref="T6:T15" si="13">MID(ToBinaryString(C6), 12, 1)</f>
        <v>1</v>
      </c>
      <c r="U6" s="2" t="s">
        <v>42</v>
      </c>
      <c r="V6" s="2" t="str">
        <f t="shared" ref="V6:V15" si="14">MID(ToBinaryString(C6), 13, 1)</f>
        <v>0</v>
      </c>
      <c r="W6" s="2" t="str">
        <f t="shared" ref="W6:W15" si="15">MID(ToBinaryString(C6), 14, 1)</f>
        <v>0</v>
      </c>
      <c r="X6" s="2" t="str">
        <f t="shared" si="4"/>
        <v>1</v>
      </c>
      <c r="Y6" s="2" t="str">
        <f t="shared" si="5"/>
        <v>0</v>
      </c>
    </row>
    <row r="7" spans="1:25" x14ac:dyDescent="0.25">
      <c r="A7" s="3" t="s">
        <v>4</v>
      </c>
      <c r="B7" s="3" t="s">
        <v>15</v>
      </c>
      <c r="C7" s="3">
        <f>C6+C5</f>
        <v>34161</v>
      </c>
      <c r="D7" s="3"/>
      <c r="E7" s="3" t="s">
        <v>27</v>
      </c>
      <c r="F7" s="3"/>
      <c r="G7" s="2" t="str">
        <f t="shared" si="6"/>
        <v>1</v>
      </c>
      <c r="H7" s="2" t="str">
        <f t="shared" si="0"/>
        <v>0</v>
      </c>
      <c r="I7" s="2" t="str">
        <f t="shared" si="1"/>
        <v>0</v>
      </c>
      <c r="J7" s="2" t="str">
        <f t="shared" si="2"/>
        <v>0</v>
      </c>
      <c r="K7" s="2" t="s">
        <v>42</v>
      </c>
      <c r="L7" s="2" t="str">
        <f t="shared" si="7"/>
        <v>0</v>
      </c>
      <c r="M7" s="2" t="str">
        <f t="shared" si="8"/>
        <v>1</v>
      </c>
      <c r="N7" s="2" t="str">
        <f t="shared" si="9"/>
        <v>0</v>
      </c>
      <c r="O7" s="2" t="str">
        <f t="shared" si="10"/>
        <v>1</v>
      </c>
      <c r="P7" s="2" t="s">
        <v>42</v>
      </c>
      <c r="Q7" s="2" t="str">
        <f t="shared" si="11"/>
        <v>0</v>
      </c>
      <c r="R7" s="2" t="str">
        <f t="shared" si="3"/>
        <v>1</v>
      </c>
      <c r="S7" s="2" t="str">
        <f t="shared" si="12"/>
        <v>1</v>
      </c>
      <c r="T7" s="2" t="str">
        <f t="shared" si="13"/>
        <v>1</v>
      </c>
      <c r="U7" s="2" t="s">
        <v>42</v>
      </c>
      <c r="V7" s="2" t="str">
        <f t="shared" si="14"/>
        <v>0</v>
      </c>
      <c r="W7" s="2" t="str">
        <f t="shared" si="15"/>
        <v>0</v>
      </c>
      <c r="X7" s="2" t="str">
        <f t="shared" si="4"/>
        <v>0</v>
      </c>
      <c r="Y7" s="2" t="str">
        <f t="shared" si="5"/>
        <v>1</v>
      </c>
    </row>
    <row r="8" spans="1:25" x14ac:dyDescent="0.25">
      <c r="A8" s="3" t="s">
        <v>5</v>
      </c>
      <c r="B8" s="3" t="s">
        <v>16</v>
      </c>
      <c r="C8" s="3">
        <f>C5-C4</f>
        <v>15948</v>
      </c>
      <c r="D8" s="3"/>
      <c r="E8" s="3" t="s">
        <v>28</v>
      </c>
      <c r="F8" s="3"/>
      <c r="G8" s="2" t="str">
        <f t="shared" si="6"/>
        <v>0</v>
      </c>
      <c r="H8" s="2" t="str">
        <f t="shared" si="0"/>
        <v>0</v>
      </c>
      <c r="I8" s="2" t="str">
        <f t="shared" si="1"/>
        <v>1</v>
      </c>
      <c r="J8" s="2" t="str">
        <f t="shared" si="2"/>
        <v>1</v>
      </c>
      <c r="K8" s="2" t="s">
        <v>42</v>
      </c>
      <c r="L8" s="2" t="str">
        <f t="shared" si="7"/>
        <v>1</v>
      </c>
      <c r="M8" s="2" t="str">
        <f t="shared" si="8"/>
        <v>1</v>
      </c>
      <c r="N8" s="2" t="str">
        <f t="shared" si="9"/>
        <v>1</v>
      </c>
      <c r="O8" s="2" t="str">
        <f t="shared" si="10"/>
        <v>0</v>
      </c>
      <c r="P8" s="2" t="s">
        <v>42</v>
      </c>
      <c r="Q8" s="2" t="str">
        <f t="shared" si="11"/>
        <v>0</v>
      </c>
      <c r="R8" s="2" t="str">
        <f t="shared" si="3"/>
        <v>1</v>
      </c>
      <c r="S8" s="2" t="str">
        <f t="shared" si="12"/>
        <v>0</v>
      </c>
      <c r="T8" s="2" t="str">
        <f t="shared" si="13"/>
        <v>0</v>
      </c>
      <c r="U8" s="2" t="s">
        <v>42</v>
      </c>
      <c r="V8" s="2" t="str">
        <f t="shared" si="14"/>
        <v>1</v>
      </c>
      <c r="W8" s="2" t="str">
        <f t="shared" si="15"/>
        <v>1</v>
      </c>
      <c r="X8" s="2" t="str">
        <f t="shared" si="4"/>
        <v>0</v>
      </c>
      <c r="Y8" s="2" t="str">
        <f t="shared" si="5"/>
        <v>0</v>
      </c>
    </row>
    <row r="9" spans="1:25" x14ac:dyDescent="0.25">
      <c r="A9" s="3" t="s">
        <v>6</v>
      </c>
      <c r="B9" s="3" t="s">
        <v>17</v>
      </c>
      <c r="C9" s="3">
        <f>65536-C7</f>
        <v>31375</v>
      </c>
      <c r="D9" s="3"/>
      <c r="E9" s="3" t="s">
        <v>29</v>
      </c>
      <c r="F9" s="3"/>
      <c r="G9" s="2" t="str">
        <f t="shared" si="6"/>
        <v>0</v>
      </c>
      <c r="H9" s="2" t="str">
        <f t="shared" si="0"/>
        <v>1</v>
      </c>
      <c r="I9" s="2" t="str">
        <f t="shared" si="1"/>
        <v>1</v>
      </c>
      <c r="J9" s="2" t="str">
        <f t="shared" si="2"/>
        <v>1</v>
      </c>
      <c r="K9" s="2" t="s">
        <v>42</v>
      </c>
      <c r="L9" s="2" t="str">
        <f t="shared" si="7"/>
        <v>1</v>
      </c>
      <c r="M9" s="2" t="str">
        <f t="shared" si="8"/>
        <v>0</v>
      </c>
      <c r="N9" s="2" t="str">
        <f t="shared" si="9"/>
        <v>1</v>
      </c>
      <c r="O9" s="2" t="str">
        <f t="shared" si="10"/>
        <v>0</v>
      </c>
      <c r="P9" s="2" t="s">
        <v>42</v>
      </c>
      <c r="Q9" s="2" t="str">
        <f t="shared" si="11"/>
        <v>1</v>
      </c>
      <c r="R9" s="2" t="str">
        <f t="shared" si="3"/>
        <v>0</v>
      </c>
      <c r="S9" s="2" t="str">
        <f t="shared" si="12"/>
        <v>0</v>
      </c>
      <c r="T9" s="2" t="str">
        <f t="shared" si="13"/>
        <v>0</v>
      </c>
      <c r="U9" s="2" t="s">
        <v>42</v>
      </c>
      <c r="V9" s="2" t="str">
        <f t="shared" si="14"/>
        <v>1</v>
      </c>
      <c r="W9" s="2" t="str">
        <f t="shared" si="15"/>
        <v>1</v>
      </c>
      <c r="X9" s="2" t="str">
        <f t="shared" si="4"/>
        <v>1</v>
      </c>
      <c r="Y9" s="2" t="str">
        <f t="shared" si="5"/>
        <v>1</v>
      </c>
    </row>
    <row r="10" spans="1:25" x14ac:dyDescent="0.25">
      <c r="A10" s="3" t="s">
        <v>7</v>
      </c>
      <c r="B10" s="4" t="s">
        <v>18</v>
      </c>
      <c r="C10" s="3">
        <f>-C4</f>
        <v>-755</v>
      </c>
      <c r="D10" s="3"/>
      <c r="E10" s="3" t="s">
        <v>30</v>
      </c>
      <c r="F10" s="4" t="s">
        <v>36</v>
      </c>
      <c r="G10" s="2" t="str">
        <f t="shared" si="6"/>
        <v>1</v>
      </c>
      <c r="H10" s="2" t="str">
        <f t="shared" si="0"/>
        <v>1</v>
      </c>
      <c r="I10" s="2" t="str">
        <f t="shared" si="1"/>
        <v>1</v>
      </c>
      <c r="J10" s="2" t="str">
        <f t="shared" si="2"/>
        <v>1</v>
      </c>
      <c r="K10" s="2" t="s">
        <v>42</v>
      </c>
      <c r="L10" s="2" t="str">
        <f t="shared" si="7"/>
        <v>1</v>
      </c>
      <c r="M10" s="2" t="str">
        <f t="shared" si="8"/>
        <v>1</v>
      </c>
      <c r="N10" s="2" t="str">
        <f t="shared" si="9"/>
        <v>0</v>
      </c>
      <c r="O10" s="2" t="str">
        <f t="shared" si="10"/>
        <v>1</v>
      </c>
      <c r="P10" s="2" t="s">
        <v>42</v>
      </c>
      <c r="Q10" s="2" t="str">
        <f t="shared" si="11"/>
        <v>0</v>
      </c>
      <c r="R10" s="2" t="str">
        <f t="shared" si="3"/>
        <v>0</v>
      </c>
      <c r="S10" s="2" t="str">
        <f t="shared" si="12"/>
        <v>0</v>
      </c>
      <c r="T10" s="2" t="str">
        <f t="shared" si="13"/>
        <v>0</v>
      </c>
      <c r="U10" s="2" t="s">
        <v>42</v>
      </c>
      <c r="V10" s="2" t="str">
        <f t="shared" si="14"/>
        <v>1</v>
      </c>
      <c r="W10" s="2" t="str">
        <f t="shared" si="15"/>
        <v>1</v>
      </c>
      <c r="X10" s="2" t="str">
        <f t="shared" si="4"/>
        <v>0</v>
      </c>
      <c r="Y10" s="2" t="str">
        <f t="shared" si="5"/>
        <v>1</v>
      </c>
    </row>
    <row r="11" spans="1:25" x14ac:dyDescent="0.25">
      <c r="A11" s="3" t="s">
        <v>8</v>
      </c>
      <c r="B11" s="4" t="s">
        <v>19</v>
      </c>
      <c r="C11" s="3">
        <f>-C5</f>
        <v>-16703</v>
      </c>
      <c r="D11" s="3"/>
      <c r="E11" s="3" t="s">
        <v>31</v>
      </c>
      <c r="F11" s="4" t="s">
        <v>37</v>
      </c>
      <c r="G11" s="2" t="str">
        <f t="shared" si="6"/>
        <v>1</v>
      </c>
      <c r="H11" s="2" t="str">
        <f t="shared" si="0"/>
        <v>0</v>
      </c>
      <c r="I11" s="2" t="str">
        <f t="shared" si="1"/>
        <v>1</v>
      </c>
      <c r="J11" s="2" t="str">
        <f t="shared" si="2"/>
        <v>1</v>
      </c>
      <c r="K11" s="2" t="s">
        <v>42</v>
      </c>
      <c r="L11" s="2" t="str">
        <f t="shared" si="7"/>
        <v>1</v>
      </c>
      <c r="M11" s="2" t="str">
        <f t="shared" si="8"/>
        <v>1</v>
      </c>
      <c r="N11" s="2" t="str">
        <f t="shared" si="9"/>
        <v>1</v>
      </c>
      <c r="O11" s="2" t="str">
        <f t="shared" si="10"/>
        <v>0</v>
      </c>
      <c r="P11" s="2" t="s">
        <v>42</v>
      </c>
      <c r="Q11" s="2" t="str">
        <f t="shared" si="11"/>
        <v>1</v>
      </c>
      <c r="R11" s="2" t="str">
        <f t="shared" si="3"/>
        <v>1</v>
      </c>
      <c r="S11" s="2" t="str">
        <f t="shared" si="12"/>
        <v>0</v>
      </c>
      <c r="T11" s="2" t="str">
        <f t="shared" si="13"/>
        <v>0</v>
      </c>
      <c r="U11" s="2" t="s">
        <v>42</v>
      </c>
      <c r="V11" s="2" t="str">
        <f t="shared" si="14"/>
        <v>0</v>
      </c>
      <c r="W11" s="2" t="str">
        <f t="shared" si="15"/>
        <v>0</v>
      </c>
      <c r="X11" s="2" t="str">
        <f t="shared" si="4"/>
        <v>0</v>
      </c>
      <c r="Y11" s="2" t="str">
        <f t="shared" si="5"/>
        <v>1</v>
      </c>
    </row>
    <row r="12" spans="1:25" x14ac:dyDescent="0.25">
      <c r="A12" s="3" t="s">
        <v>9</v>
      </c>
      <c r="B12" s="4" t="s">
        <v>20</v>
      </c>
      <c r="C12" s="3">
        <f t="shared" ref="C12:C15" si="16">-C6</f>
        <v>-17458</v>
      </c>
      <c r="D12" s="3"/>
      <c r="E12" s="3" t="s">
        <v>32</v>
      </c>
      <c r="F12" s="4" t="s">
        <v>38</v>
      </c>
      <c r="G12" s="2" t="str">
        <f t="shared" si="6"/>
        <v>1</v>
      </c>
      <c r="H12" s="2" t="str">
        <f t="shared" si="0"/>
        <v>0</v>
      </c>
      <c r="I12" s="2" t="str">
        <f t="shared" si="1"/>
        <v>1</v>
      </c>
      <c r="J12" s="2" t="str">
        <f t="shared" si="2"/>
        <v>1</v>
      </c>
      <c r="K12" s="2" t="s">
        <v>42</v>
      </c>
      <c r="L12" s="2" t="str">
        <f t="shared" si="7"/>
        <v>1</v>
      </c>
      <c r="M12" s="2" t="str">
        <f t="shared" si="8"/>
        <v>0</v>
      </c>
      <c r="N12" s="2" t="str">
        <f t="shared" si="9"/>
        <v>1</v>
      </c>
      <c r="O12" s="2" t="str">
        <f t="shared" si="10"/>
        <v>1</v>
      </c>
      <c r="P12" s="2" t="s">
        <v>42</v>
      </c>
      <c r="Q12" s="2" t="str">
        <f t="shared" si="11"/>
        <v>1</v>
      </c>
      <c r="R12" s="2" t="str">
        <f t="shared" si="3"/>
        <v>1</v>
      </c>
      <c r="S12" s="2" t="str">
        <f t="shared" si="12"/>
        <v>0</v>
      </c>
      <c r="T12" s="2" t="str">
        <f t="shared" si="13"/>
        <v>0</v>
      </c>
      <c r="U12" s="2" t="s">
        <v>42</v>
      </c>
      <c r="V12" s="2" t="str">
        <f t="shared" si="14"/>
        <v>1</v>
      </c>
      <c r="W12" s="2" t="str">
        <f t="shared" si="15"/>
        <v>1</v>
      </c>
      <c r="X12" s="2" t="str">
        <f t="shared" si="4"/>
        <v>1</v>
      </c>
      <c r="Y12" s="2" t="str">
        <f t="shared" si="5"/>
        <v>0</v>
      </c>
    </row>
    <row r="13" spans="1:25" x14ac:dyDescent="0.25">
      <c r="A13" s="3" t="s">
        <v>10</v>
      </c>
      <c r="B13" s="4" t="s">
        <v>21</v>
      </c>
      <c r="C13" s="3">
        <f>-C7</f>
        <v>-34161</v>
      </c>
      <c r="D13" s="3"/>
      <c r="E13" s="3" t="s">
        <v>33</v>
      </c>
      <c r="F13" s="4" t="s">
        <v>39</v>
      </c>
      <c r="G13" s="2" t="str">
        <f t="shared" si="6"/>
        <v>0</v>
      </c>
      <c r="H13" s="2" t="str">
        <f t="shared" si="0"/>
        <v>1</v>
      </c>
      <c r="I13" s="2" t="str">
        <f t="shared" si="1"/>
        <v>1</v>
      </c>
      <c r="J13" s="2" t="str">
        <f t="shared" si="2"/>
        <v>1</v>
      </c>
      <c r="K13" s="2" t="s">
        <v>42</v>
      </c>
      <c r="L13" s="2" t="str">
        <f t="shared" si="7"/>
        <v>1</v>
      </c>
      <c r="M13" s="2" t="str">
        <f t="shared" si="8"/>
        <v>0</v>
      </c>
      <c r="N13" s="2" t="str">
        <f t="shared" si="9"/>
        <v>1</v>
      </c>
      <c r="O13" s="2" t="str">
        <f t="shared" si="10"/>
        <v>0</v>
      </c>
      <c r="P13" s="2" t="s">
        <v>42</v>
      </c>
      <c r="Q13" s="2" t="str">
        <f t="shared" si="11"/>
        <v>1</v>
      </c>
      <c r="R13" s="2" t="str">
        <f t="shared" si="3"/>
        <v>0</v>
      </c>
      <c r="S13" s="2" t="str">
        <f t="shared" si="12"/>
        <v>0</v>
      </c>
      <c r="T13" s="2" t="str">
        <f t="shared" si="13"/>
        <v>0</v>
      </c>
      <c r="U13" s="2" t="s">
        <v>42</v>
      </c>
      <c r="V13" s="2" t="str">
        <f t="shared" si="14"/>
        <v>1</v>
      </c>
      <c r="W13" s="2" t="str">
        <f t="shared" si="15"/>
        <v>1</v>
      </c>
      <c r="X13" s="2" t="str">
        <f t="shared" si="4"/>
        <v>1</v>
      </c>
      <c r="Y13" s="2" t="str">
        <f t="shared" si="5"/>
        <v>1</v>
      </c>
    </row>
    <row r="14" spans="1:25" x14ac:dyDescent="0.25">
      <c r="A14" s="3" t="s">
        <v>11</v>
      </c>
      <c r="B14" s="4" t="s">
        <v>22</v>
      </c>
      <c r="C14" s="3">
        <f t="shared" si="16"/>
        <v>-15948</v>
      </c>
      <c r="D14" s="3"/>
      <c r="E14" s="3" t="s">
        <v>34</v>
      </c>
      <c r="F14" s="4" t="s">
        <v>40</v>
      </c>
      <c r="G14" s="2" t="str">
        <f t="shared" si="6"/>
        <v>1</v>
      </c>
      <c r="H14" s="2" t="str">
        <f t="shared" si="0"/>
        <v>1</v>
      </c>
      <c r="I14" s="2" t="str">
        <f t="shared" si="1"/>
        <v>0</v>
      </c>
      <c r="J14" s="2" t="str">
        <f t="shared" si="2"/>
        <v>0</v>
      </c>
      <c r="K14" s="2" t="s">
        <v>42</v>
      </c>
      <c r="L14" s="2" t="str">
        <f t="shared" si="7"/>
        <v>0</v>
      </c>
      <c r="M14" s="2" t="str">
        <f t="shared" si="8"/>
        <v>0</v>
      </c>
      <c r="N14" s="2" t="str">
        <f t="shared" si="9"/>
        <v>0</v>
      </c>
      <c r="O14" s="2" t="str">
        <f t="shared" si="10"/>
        <v>1</v>
      </c>
      <c r="P14" s="2" t="s">
        <v>42</v>
      </c>
      <c r="Q14" s="2" t="str">
        <f t="shared" si="11"/>
        <v>1</v>
      </c>
      <c r="R14" s="2" t="str">
        <f t="shared" si="3"/>
        <v>0</v>
      </c>
      <c r="S14" s="2" t="str">
        <f t="shared" si="12"/>
        <v>1</v>
      </c>
      <c r="T14" s="2" t="str">
        <f t="shared" si="13"/>
        <v>1</v>
      </c>
      <c r="U14" s="2" t="s">
        <v>42</v>
      </c>
      <c r="V14" s="2" t="str">
        <f t="shared" si="14"/>
        <v>0</v>
      </c>
      <c r="W14" s="2" t="str">
        <f t="shared" si="15"/>
        <v>1</v>
      </c>
      <c r="X14" s="2" t="str">
        <f t="shared" si="4"/>
        <v>0</v>
      </c>
      <c r="Y14" s="2" t="str">
        <f t="shared" si="5"/>
        <v>0</v>
      </c>
    </row>
    <row r="15" spans="1:25" x14ac:dyDescent="0.25">
      <c r="A15" s="3" t="s">
        <v>12</v>
      </c>
      <c r="B15" s="4" t="s">
        <v>23</v>
      </c>
      <c r="C15" s="3">
        <f t="shared" si="16"/>
        <v>-31375</v>
      </c>
      <c r="D15" s="3"/>
      <c r="E15" s="3" t="s">
        <v>35</v>
      </c>
      <c r="F15" s="4" t="s">
        <v>41</v>
      </c>
      <c r="G15" s="2" t="str">
        <f t="shared" si="6"/>
        <v>1</v>
      </c>
      <c r="H15" s="2" t="str">
        <f t="shared" si="0"/>
        <v>0</v>
      </c>
      <c r="I15" s="2" t="str">
        <f t="shared" si="1"/>
        <v>0</v>
      </c>
      <c r="J15" s="2" t="str">
        <f t="shared" si="2"/>
        <v>0</v>
      </c>
      <c r="K15" s="2" t="s">
        <v>42</v>
      </c>
      <c r="L15" s="2" t="str">
        <f t="shared" si="7"/>
        <v>0</v>
      </c>
      <c r="M15" s="2" t="str">
        <f t="shared" si="8"/>
        <v>1</v>
      </c>
      <c r="N15" s="2" t="str">
        <f t="shared" si="9"/>
        <v>0</v>
      </c>
      <c r="O15" s="2" t="str">
        <f t="shared" si="10"/>
        <v>1</v>
      </c>
      <c r="P15" s="2" t="s">
        <v>42</v>
      </c>
      <c r="Q15" s="2" t="str">
        <f t="shared" si="11"/>
        <v>0</v>
      </c>
      <c r="R15" s="2" t="str">
        <f t="shared" si="3"/>
        <v>1</v>
      </c>
      <c r="S15" s="2" t="str">
        <f t="shared" si="12"/>
        <v>1</v>
      </c>
      <c r="T15" s="2" t="str">
        <f t="shared" si="13"/>
        <v>1</v>
      </c>
      <c r="U15" s="2" t="s">
        <v>42</v>
      </c>
      <c r="V15" s="2" t="str">
        <f t="shared" si="14"/>
        <v>0</v>
      </c>
      <c r="W15" s="2" t="str">
        <f t="shared" si="15"/>
        <v>0</v>
      </c>
      <c r="X15" s="2" t="str">
        <f t="shared" si="4"/>
        <v>0</v>
      </c>
      <c r="Y15" s="2" t="str">
        <f t="shared" si="5"/>
        <v>1</v>
      </c>
    </row>
    <row r="16" spans="1:25" x14ac:dyDescent="0.25">
      <c r="C16" s="3"/>
    </row>
    <row r="17" spans="4:38" x14ac:dyDescent="0.25">
      <c r="G17" s="6">
        <f>INT((H17+H18+H19)/2)</f>
        <v>0</v>
      </c>
      <c r="H17" s="6">
        <f>INT((I17+I18+I19)/2)</f>
        <v>0</v>
      </c>
      <c r="I17" s="6">
        <f>INT((J17+J18+J19)/2)</f>
        <v>0</v>
      </c>
      <c r="J17" s="6">
        <f>L17</f>
        <v>0</v>
      </c>
      <c r="K17" s="6"/>
      <c r="L17" s="6">
        <f>INT((M17+M18+M19)/2)</f>
        <v>0</v>
      </c>
      <c r="M17" s="6">
        <f>INT((N17+N18+N19)/2)</f>
        <v>1</v>
      </c>
      <c r="N17" s="6">
        <f>INT((O17+O18+O19)/2)</f>
        <v>1</v>
      </c>
      <c r="O17" s="6">
        <f>Q17</f>
        <v>1</v>
      </c>
      <c r="P17" s="6"/>
      <c r="Q17" s="6">
        <f>INT((R17+R18+R19)/2)</f>
        <v>1</v>
      </c>
      <c r="R17" s="6">
        <f>INT((S17+S18+S19)/2)</f>
        <v>1</v>
      </c>
      <c r="S17" s="6">
        <f>INT((T17+T18+T19)/2)</f>
        <v>1</v>
      </c>
      <c r="T17" s="6">
        <f>V17</f>
        <v>1</v>
      </c>
      <c r="U17" s="6"/>
      <c r="V17" s="6">
        <f>INT((W17+W18+W19)/2)</f>
        <v>1</v>
      </c>
      <c r="W17" s="6">
        <f>INT((X17+X18+X19)/2)</f>
        <v>1</v>
      </c>
      <c r="X17" s="6">
        <f>INT((Y17+Y18+Y19)/2)</f>
        <v>1</v>
      </c>
      <c r="Y17" s="6">
        <v>0</v>
      </c>
    </row>
    <row r="18" spans="4:38" ht="18" x14ac:dyDescent="0.35">
      <c r="E18" t="s">
        <v>43</v>
      </c>
      <c r="G18" s="2" t="str">
        <f>G4</f>
        <v>0</v>
      </c>
      <c r="H18" s="2" t="str">
        <f t="shared" ref="H18:Y18" si="17">H4</f>
        <v>0</v>
      </c>
      <c r="I18" s="2" t="str">
        <f t="shared" si="17"/>
        <v>0</v>
      </c>
      <c r="J18" s="2" t="str">
        <f t="shared" si="17"/>
        <v>0</v>
      </c>
      <c r="K18" s="2" t="str">
        <f t="shared" si="17"/>
        <v>.</v>
      </c>
      <c r="L18" s="2" t="str">
        <f t="shared" si="17"/>
        <v>0</v>
      </c>
      <c r="M18" s="2" t="str">
        <f t="shared" si="17"/>
        <v>0</v>
      </c>
      <c r="N18" s="2" t="str">
        <f t="shared" si="17"/>
        <v>1</v>
      </c>
      <c r="O18" s="2" t="str">
        <f t="shared" si="17"/>
        <v>0</v>
      </c>
      <c r="P18" s="2" t="str">
        <f t="shared" si="17"/>
        <v>.</v>
      </c>
      <c r="Q18" s="2" t="str">
        <f t="shared" si="17"/>
        <v>1</v>
      </c>
      <c r="R18" s="2" t="str">
        <f t="shared" si="17"/>
        <v>1</v>
      </c>
      <c r="S18" s="2" t="str">
        <f t="shared" si="17"/>
        <v>1</v>
      </c>
      <c r="T18" s="2" t="str">
        <f t="shared" si="17"/>
        <v>1</v>
      </c>
      <c r="U18" s="2" t="str">
        <f t="shared" si="17"/>
        <v>.</v>
      </c>
      <c r="V18" s="2" t="str">
        <f t="shared" si="17"/>
        <v>0</v>
      </c>
      <c r="W18" s="2" t="str">
        <f t="shared" si="17"/>
        <v>0</v>
      </c>
      <c r="X18" s="2" t="str">
        <f t="shared" si="17"/>
        <v>1</v>
      </c>
      <c r="Y18" s="2" t="str">
        <f t="shared" si="17"/>
        <v>1</v>
      </c>
      <c r="AE18" s="2" t="s">
        <v>51</v>
      </c>
      <c r="AG18">
        <f>C4</f>
        <v>755</v>
      </c>
      <c r="AI18" s="20" t="s">
        <v>72</v>
      </c>
      <c r="AJ18" s="21"/>
      <c r="AK18" s="21"/>
      <c r="AL18" s="22"/>
    </row>
    <row r="19" spans="4:38" ht="18" x14ac:dyDescent="0.35">
      <c r="D19" s="1" t="s">
        <v>45</v>
      </c>
      <c r="E19" t="s">
        <v>44</v>
      </c>
      <c r="G19" s="2" t="str">
        <f t="shared" ref="G19:Y19" si="18">G5</f>
        <v>0</v>
      </c>
      <c r="H19" s="2" t="str">
        <f t="shared" si="18"/>
        <v>1</v>
      </c>
      <c r="I19" s="2" t="str">
        <f t="shared" si="18"/>
        <v>0</v>
      </c>
      <c r="J19" s="2" t="str">
        <f t="shared" si="18"/>
        <v>0</v>
      </c>
      <c r="K19" s="2" t="str">
        <f t="shared" si="18"/>
        <v>.</v>
      </c>
      <c r="L19" s="2" t="str">
        <f t="shared" si="18"/>
        <v>0</v>
      </c>
      <c r="M19" s="2" t="str">
        <f t="shared" si="18"/>
        <v>0</v>
      </c>
      <c r="N19" s="2" t="str">
        <f t="shared" si="18"/>
        <v>0</v>
      </c>
      <c r="O19" s="2" t="str">
        <f t="shared" si="18"/>
        <v>1</v>
      </c>
      <c r="P19" s="2" t="str">
        <f t="shared" si="18"/>
        <v>.</v>
      </c>
      <c r="Q19" s="2" t="str">
        <f t="shared" si="18"/>
        <v>0</v>
      </c>
      <c r="R19" s="2" t="str">
        <f t="shared" si="18"/>
        <v>0</v>
      </c>
      <c r="S19" s="2" t="str">
        <f t="shared" si="18"/>
        <v>1</v>
      </c>
      <c r="T19" s="2" t="str">
        <f t="shared" si="18"/>
        <v>1</v>
      </c>
      <c r="U19" s="2" t="str">
        <f t="shared" si="18"/>
        <v>.</v>
      </c>
      <c r="V19" s="2" t="str">
        <f t="shared" si="18"/>
        <v>1</v>
      </c>
      <c r="W19" s="2" t="str">
        <f t="shared" si="18"/>
        <v>1</v>
      </c>
      <c r="X19" s="2" t="str">
        <f t="shared" si="18"/>
        <v>1</v>
      </c>
      <c r="Y19" s="2" t="str">
        <f t="shared" si="18"/>
        <v>1</v>
      </c>
      <c r="AD19" s="4" t="s">
        <v>45</v>
      </c>
      <c r="AE19" s="2" t="s">
        <v>52</v>
      </c>
      <c r="AG19">
        <f>C5</f>
        <v>16703</v>
      </c>
      <c r="AI19" s="23"/>
      <c r="AJ19" s="24"/>
      <c r="AK19" s="24"/>
      <c r="AL19" s="25"/>
    </row>
    <row r="20" spans="4:38" x14ac:dyDescent="0.25">
      <c r="E20" s="5" t="s">
        <v>46</v>
      </c>
      <c r="F20" s="5" t="s">
        <v>46</v>
      </c>
      <c r="G20" s="5" t="s">
        <v>47</v>
      </c>
      <c r="H20" s="5" t="s">
        <v>47</v>
      </c>
      <c r="I20" s="5" t="s">
        <v>47</v>
      </c>
      <c r="J20" s="5" t="s">
        <v>47</v>
      </c>
      <c r="K20" s="5" t="s">
        <v>47</v>
      </c>
      <c r="L20" s="5" t="s">
        <v>47</v>
      </c>
      <c r="M20" s="5" t="s">
        <v>47</v>
      </c>
      <c r="N20" s="5" t="s">
        <v>47</v>
      </c>
      <c r="O20" s="5" t="s">
        <v>47</v>
      </c>
      <c r="P20" s="5" t="s">
        <v>47</v>
      </c>
      <c r="Q20" s="5" t="s">
        <v>47</v>
      </c>
      <c r="R20" s="5" t="s">
        <v>47</v>
      </c>
      <c r="S20" s="5" t="s">
        <v>47</v>
      </c>
      <c r="T20" s="5" t="s">
        <v>47</v>
      </c>
      <c r="U20" s="5" t="s">
        <v>47</v>
      </c>
      <c r="V20" s="5" t="s">
        <v>47</v>
      </c>
      <c r="W20" s="5" t="s">
        <v>47</v>
      </c>
      <c r="X20" s="5" t="s">
        <v>47</v>
      </c>
      <c r="Y20" s="5" t="s">
        <v>47</v>
      </c>
      <c r="AC20" s="10" t="s">
        <v>50</v>
      </c>
      <c r="AE20" s="5" t="s">
        <v>53</v>
      </c>
      <c r="AF20" s="5" t="s">
        <v>54</v>
      </c>
      <c r="AG20" s="5" t="s">
        <v>54</v>
      </c>
      <c r="AI20" s="23"/>
      <c r="AJ20" s="24"/>
      <c r="AK20" s="24"/>
      <c r="AL20" s="25"/>
    </row>
    <row r="21" spans="4:38" ht="18" x14ac:dyDescent="0.35">
      <c r="G21" s="2">
        <f>MOD((G17+G18+G19),2)</f>
        <v>0</v>
      </c>
      <c r="H21" s="2">
        <f>MOD((H17+H18+H19),2)</f>
        <v>1</v>
      </c>
      <c r="I21" s="2">
        <f>MOD((I17+I18+I19),2)</f>
        <v>0</v>
      </c>
      <c r="J21" s="2">
        <f>MOD((J17+J18+J19),2)</f>
        <v>0</v>
      </c>
      <c r="K21" s="2" t="s">
        <v>42</v>
      </c>
      <c r="L21" s="2">
        <f>MOD((L17+L18+L19),2)</f>
        <v>0</v>
      </c>
      <c r="M21" s="2">
        <f>MOD((M17+M18+M19),2)</f>
        <v>1</v>
      </c>
      <c r="N21" s="2">
        <f>MOD((N17+N18+N19),2)</f>
        <v>0</v>
      </c>
      <c r="O21" s="2">
        <f>MOD((O17+O18+O19),2)</f>
        <v>0</v>
      </c>
      <c r="P21" s="2" t="s">
        <v>42</v>
      </c>
      <c r="Q21" s="2">
        <f>MOD((Q17+Q18+Q19),2)</f>
        <v>0</v>
      </c>
      <c r="R21" s="2">
        <f>MOD((R17+R18+R19),2)</f>
        <v>0</v>
      </c>
      <c r="S21" s="2">
        <f>MOD((S17+S18+S19),2)</f>
        <v>1</v>
      </c>
      <c r="T21" s="2">
        <f>MOD((T17+T18+T19),2)</f>
        <v>1</v>
      </c>
      <c r="U21" s="2" t="s">
        <v>42</v>
      </c>
      <c r="V21" s="2">
        <f>MOD((V17+V18+V19),2)</f>
        <v>0</v>
      </c>
      <c r="W21" s="2">
        <f>MOD((W17+W18+W19),2)</f>
        <v>0</v>
      </c>
      <c r="X21" s="2">
        <f>MOD((X17+X18+X19),2)</f>
        <v>1</v>
      </c>
      <c r="Y21" s="2">
        <f>MOD((Y17+Y18+Y19),2)</f>
        <v>0</v>
      </c>
      <c r="Z21" s="7" t="s">
        <v>48</v>
      </c>
      <c r="AA21" s="2">
        <f>ToFormat(C4+C5)</f>
        <v>17458</v>
      </c>
      <c r="AB21" s="8" t="s">
        <v>49</v>
      </c>
      <c r="AG21">
        <f>AG18+AG19</f>
        <v>17458</v>
      </c>
      <c r="AH21" s="8" t="s">
        <v>49</v>
      </c>
      <c r="AI21" s="23"/>
      <c r="AJ21" s="24"/>
      <c r="AK21" s="24"/>
      <c r="AL21" s="25"/>
    </row>
    <row r="22" spans="4:38" x14ac:dyDescent="0.25">
      <c r="AI22" s="23"/>
      <c r="AJ22" s="24"/>
      <c r="AK22" s="24"/>
      <c r="AL22" s="25"/>
    </row>
    <row r="23" spans="4:38" x14ac:dyDescent="0.25">
      <c r="G23" s="29" t="s">
        <v>59</v>
      </c>
      <c r="H23" s="29"/>
      <c r="I23" s="29"/>
      <c r="J23" s="2">
        <f>IF((G17+G18+G19)&gt;1,1,0)</f>
        <v>0</v>
      </c>
      <c r="L23" s="29" t="s">
        <v>60</v>
      </c>
      <c r="M23" s="29"/>
      <c r="N23" s="29"/>
      <c r="O23" s="2">
        <f>IF(MOD(SUM(V21:Y21)+SUM(Q21:T21),2)=0,1,0)</f>
        <v>0</v>
      </c>
      <c r="Q23" s="29" t="s">
        <v>61</v>
      </c>
      <c r="R23" s="29"/>
      <c r="S23" s="29"/>
      <c r="T23" s="2">
        <f>IF(T17=1,1,0)</f>
        <v>1</v>
      </c>
      <c r="V23" s="29" t="s">
        <v>62</v>
      </c>
      <c r="W23" s="29"/>
      <c r="X23" s="29"/>
      <c r="Y23" s="2">
        <f>IF(AA21=0,1,0)</f>
        <v>0</v>
      </c>
      <c r="AA23" s="9" t="s">
        <v>63</v>
      </c>
      <c r="AB23">
        <f>IF(AA21&lt;0,1,0)</f>
        <v>0</v>
      </c>
      <c r="AC23" s="3" t="s">
        <v>64</v>
      </c>
      <c r="AD23">
        <f>IF(AND(G17+G18+G19+G21=2,OR(G17+G21=2,G18+G19=2)),1,0)</f>
        <v>0</v>
      </c>
      <c r="AI23" s="26"/>
      <c r="AJ23" s="27"/>
      <c r="AK23" s="27"/>
      <c r="AL23" s="28"/>
    </row>
    <row r="24" spans="4:38" x14ac:dyDescent="0.25">
      <c r="G24" s="6">
        <f>INT((H24+H25+H26)/2)</f>
        <v>1</v>
      </c>
      <c r="H24" s="6">
        <f>INT((I24+I25+I26)/2)</f>
        <v>0</v>
      </c>
      <c r="I24" s="6">
        <f>INT((J24+J25+J26)/2)</f>
        <v>0</v>
      </c>
      <c r="J24" s="6">
        <f>L24</f>
        <v>0</v>
      </c>
      <c r="K24" s="6"/>
      <c r="L24" s="6">
        <f>INT((M24+M25+M26)/2)</f>
        <v>0</v>
      </c>
      <c r="M24" s="6">
        <f>INT((N24+N25+N26)/2)</f>
        <v>0</v>
      </c>
      <c r="N24" s="6">
        <f>INT((O24+O25+O26)/2)</f>
        <v>0</v>
      </c>
      <c r="O24" s="6">
        <f>Q24</f>
        <v>0</v>
      </c>
      <c r="P24" s="6"/>
      <c r="Q24" s="6">
        <f>INT((R24+R25+R26)/2)</f>
        <v>0</v>
      </c>
      <c r="R24" s="6">
        <f>INT((S24+S25+S26)/2)</f>
        <v>1</v>
      </c>
      <c r="S24" s="6">
        <f>INT((T24+T25+T26)/2)</f>
        <v>1</v>
      </c>
      <c r="T24" s="6">
        <f>V24</f>
        <v>1</v>
      </c>
      <c r="U24" s="6"/>
      <c r="V24" s="6">
        <f>INT((W24+W25+W26)/2)</f>
        <v>1</v>
      </c>
      <c r="W24" s="6">
        <f>INT((X24+X25+X26)/2)</f>
        <v>1</v>
      </c>
      <c r="X24" s="6">
        <f>INT((Y24+Y25+Y26)/2)</f>
        <v>0</v>
      </c>
      <c r="Y24" s="6">
        <v>0</v>
      </c>
    </row>
    <row r="25" spans="4:38" ht="18" x14ac:dyDescent="0.35">
      <c r="E25" t="s">
        <v>44</v>
      </c>
      <c r="G25" s="2" t="str">
        <f t="shared" ref="G25:Y25" si="19">G5</f>
        <v>0</v>
      </c>
      <c r="H25" s="2" t="str">
        <f t="shared" si="19"/>
        <v>1</v>
      </c>
      <c r="I25" s="2" t="str">
        <f t="shared" si="19"/>
        <v>0</v>
      </c>
      <c r="J25" s="2" t="str">
        <f t="shared" si="19"/>
        <v>0</v>
      </c>
      <c r="K25" s="2" t="str">
        <f t="shared" si="19"/>
        <v>.</v>
      </c>
      <c r="L25" s="2" t="str">
        <f t="shared" si="19"/>
        <v>0</v>
      </c>
      <c r="M25" s="2" t="str">
        <f t="shared" si="19"/>
        <v>0</v>
      </c>
      <c r="N25" s="2" t="str">
        <f t="shared" si="19"/>
        <v>0</v>
      </c>
      <c r="O25" s="2" t="str">
        <f t="shared" si="19"/>
        <v>1</v>
      </c>
      <c r="P25" s="2" t="str">
        <f t="shared" si="19"/>
        <v>.</v>
      </c>
      <c r="Q25" s="2" t="str">
        <f t="shared" si="19"/>
        <v>0</v>
      </c>
      <c r="R25" s="2" t="str">
        <f t="shared" si="19"/>
        <v>0</v>
      </c>
      <c r="S25" s="2" t="str">
        <f t="shared" si="19"/>
        <v>1</v>
      </c>
      <c r="T25" s="2" t="str">
        <f t="shared" si="19"/>
        <v>1</v>
      </c>
      <c r="U25" s="2" t="str">
        <f t="shared" si="19"/>
        <v>.</v>
      </c>
      <c r="V25" s="2" t="str">
        <f t="shared" si="19"/>
        <v>1</v>
      </c>
      <c r="W25" s="2" t="str">
        <f t="shared" si="19"/>
        <v>1</v>
      </c>
      <c r="X25" s="2" t="str">
        <f t="shared" si="19"/>
        <v>1</v>
      </c>
      <c r="Y25" s="2" t="str">
        <f t="shared" si="19"/>
        <v>1</v>
      </c>
      <c r="AE25" s="2" t="s">
        <v>52</v>
      </c>
      <c r="AG25">
        <f>C5</f>
        <v>16703</v>
      </c>
      <c r="AI25" s="20" t="s">
        <v>73</v>
      </c>
      <c r="AJ25" s="21"/>
      <c r="AK25" s="21"/>
      <c r="AL25" s="22"/>
    </row>
    <row r="26" spans="4:38" ht="18" x14ac:dyDescent="0.35">
      <c r="D26" s="1" t="s">
        <v>45</v>
      </c>
      <c r="E26" t="s">
        <v>55</v>
      </c>
      <c r="G26" s="2" t="str">
        <f t="shared" ref="G26:Y26" si="20">G6</f>
        <v>0</v>
      </c>
      <c r="H26" s="2" t="str">
        <f t="shared" si="20"/>
        <v>1</v>
      </c>
      <c r="I26" s="2" t="str">
        <f t="shared" si="20"/>
        <v>0</v>
      </c>
      <c r="J26" s="2" t="str">
        <f t="shared" si="20"/>
        <v>0</v>
      </c>
      <c r="K26" s="2" t="str">
        <f t="shared" si="20"/>
        <v>.</v>
      </c>
      <c r="L26" s="2" t="str">
        <f t="shared" si="20"/>
        <v>0</v>
      </c>
      <c r="M26" s="2" t="str">
        <f t="shared" si="20"/>
        <v>1</v>
      </c>
      <c r="N26" s="2" t="str">
        <f t="shared" si="20"/>
        <v>0</v>
      </c>
      <c r="O26" s="2" t="str">
        <f t="shared" si="20"/>
        <v>0</v>
      </c>
      <c r="P26" s="2" t="str">
        <f t="shared" si="20"/>
        <v>.</v>
      </c>
      <c r="Q26" s="2" t="str">
        <f t="shared" si="20"/>
        <v>0</v>
      </c>
      <c r="R26" s="2" t="str">
        <f t="shared" si="20"/>
        <v>0</v>
      </c>
      <c r="S26" s="2" t="str">
        <f t="shared" si="20"/>
        <v>1</v>
      </c>
      <c r="T26" s="2" t="str">
        <f t="shared" si="20"/>
        <v>1</v>
      </c>
      <c r="U26" s="2" t="str">
        <f t="shared" si="20"/>
        <v>.</v>
      </c>
      <c r="V26" s="2" t="str">
        <f t="shared" si="20"/>
        <v>0</v>
      </c>
      <c r="W26" s="2" t="str">
        <f t="shared" si="20"/>
        <v>0</v>
      </c>
      <c r="X26" s="2" t="str">
        <f t="shared" si="20"/>
        <v>1</v>
      </c>
      <c r="Y26" s="2" t="str">
        <f t="shared" si="20"/>
        <v>0</v>
      </c>
      <c r="AD26" s="4" t="s">
        <v>45</v>
      </c>
      <c r="AE26" s="2" t="s">
        <v>56</v>
      </c>
      <c r="AG26">
        <f>C6</f>
        <v>17458</v>
      </c>
      <c r="AI26" s="23"/>
      <c r="AJ26" s="24"/>
      <c r="AK26" s="24"/>
      <c r="AL26" s="25"/>
    </row>
    <row r="27" spans="4:38" x14ac:dyDescent="0.25">
      <c r="E27" s="5" t="s">
        <v>46</v>
      </c>
      <c r="F27" s="5" t="s">
        <v>46</v>
      </c>
      <c r="G27" s="5" t="s">
        <v>47</v>
      </c>
      <c r="H27" s="5" t="s">
        <v>47</v>
      </c>
      <c r="I27" s="5" t="s">
        <v>47</v>
      </c>
      <c r="J27" s="5" t="s">
        <v>47</v>
      </c>
      <c r="K27" s="5" t="s">
        <v>47</v>
      </c>
      <c r="L27" s="5" t="s">
        <v>47</v>
      </c>
      <c r="M27" s="5" t="s">
        <v>47</v>
      </c>
      <c r="N27" s="5" t="s">
        <v>47</v>
      </c>
      <c r="O27" s="5" t="s">
        <v>47</v>
      </c>
      <c r="P27" s="5" t="s">
        <v>47</v>
      </c>
      <c r="Q27" s="5" t="s">
        <v>47</v>
      </c>
      <c r="R27" s="5" t="s">
        <v>47</v>
      </c>
      <c r="S27" s="5" t="s">
        <v>47</v>
      </c>
      <c r="T27" s="5" t="s">
        <v>47</v>
      </c>
      <c r="U27" s="5" t="s">
        <v>47</v>
      </c>
      <c r="V27" s="5" t="s">
        <v>47</v>
      </c>
      <c r="W27" s="5" t="s">
        <v>47</v>
      </c>
      <c r="X27" s="5" t="s">
        <v>47</v>
      </c>
      <c r="Y27" s="5" t="s">
        <v>47</v>
      </c>
      <c r="AC27" s="10" t="s">
        <v>68</v>
      </c>
      <c r="AE27" s="5" t="s">
        <v>53</v>
      </c>
      <c r="AF27" s="5" t="s">
        <v>54</v>
      </c>
      <c r="AG27" s="5" t="s">
        <v>54</v>
      </c>
      <c r="AI27" s="23"/>
      <c r="AJ27" s="24"/>
      <c r="AK27" s="24"/>
      <c r="AL27" s="25"/>
    </row>
    <row r="28" spans="4:38" ht="18" x14ac:dyDescent="0.35">
      <c r="G28" s="2">
        <f>MOD((G24+G25+G26),2)</f>
        <v>1</v>
      </c>
      <c r="H28" s="2">
        <f>MOD((H24+H25+H26),2)</f>
        <v>0</v>
      </c>
      <c r="I28" s="2">
        <f>MOD((I24+I25+I26),2)</f>
        <v>0</v>
      </c>
      <c r="J28" s="2">
        <f>MOD((J24+J25+J26),2)</f>
        <v>0</v>
      </c>
      <c r="K28" s="2" t="s">
        <v>42</v>
      </c>
      <c r="L28" s="2">
        <f>MOD((L24+L25+L26),2)</f>
        <v>0</v>
      </c>
      <c r="M28" s="2">
        <f>MOD((M24+M25+M26),2)</f>
        <v>1</v>
      </c>
      <c r="N28" s="2">
        <f>MOD((N24+N25+N26),2)</f>
        <v>0</v>
      </c>
      <c r="O28" s="2">
        <f>MOD((O24+O25+O26),2)</f>
        <v>1</v>
      </c>
      <c r="P28" s="2" t="s">
        <v>42</v>
      </c>
      <c r="Q28" s="2">
        <f>MOD((Q24+Q25+Q26),2)</f>
        <v>0</v>
      </c>
      <c r="R28" s="2">
        <f>MOD((R24+R25+R26),2)</f>
        <v>1</v>
      </c>
      <c r="S28" s="2">
        <f>MOD((S24+S25+S26),2)</f>
        <v>1</v>
      </c>
      <c r="T28" s="2">
        <f>MOD((T24+T25+T26),2)</f>
        <v>1</v>
      </c>
      <c r="U28" s="2" t="s">
        <v>42</v>
      </c>
      <c r="V28" s="2">
        <f>MOD((V24+V25+V26),2)</f>
        <v>0</v>
      </c>
      <c r="W28" s="2">
        <f>MOD((W24+W25+W26),2)</f>
        <v>0</v>
      </c>
      <c r="X28" s="2">
        <f>MOD((X24+X25+X26),2)</f>
        <v>0</v>
      </c>
      <c r="Y28" s="2">
        <f>MOD((Y24+Y25+Y26),2)</f>
        <v>1</v>
      </c>
      <c r="Z28" s="7" t="s">
        <v>48</v>
      </c>
      <c r="AA28" s="2">
        <f>ToFormat(C5+C6)</f>
        <v>-31375</v>
      </c>
      <c r="AB28" s="8" t="s">
        <v>49</v>
      </c>
      <c r="AG28">
        <f>AG25+AG26</f>
        <v>34161</v>
      </c>
      <c r="AH28" s="8" t="s">
        <v>49</v>
      </c>
      <c r="AI28" s="23"/>
      <c r="AJ28" s="24"/>
      <c r="AK28" s="24"/>
      <c r="AL28" s="25"/>
    </row>
    <row r="29" spans="4:38" x14ac:dyDescent="0.25">
      <c r="AI29" s="23"/>
      <c r="AJ29" s="24"/>
      <c r="AK29" s="24"/>
      <c r="AL29" s="25"/>
    </row>
    <row r="30" spans="4:38" x14ac:dyDescent="0.25">
      <c r="G30" s="29" t="s">
        <v>59</v>
      </c>
      <c r="H30" s="29"/>
      <c r="I30" s="29"/>
      <c r="J30" s="2">
        <f>IF((G24+G25+G26)&gt;1,1,0)</f>
        <v>0</v>
      </c>
      <c r="L30" s="29" t="s">
        <v>60</v>
      </c>
      <c r="M30" s="29"/>
      <c r="N30" s="29"/>
      <c r="O30" s="2">
        <f>IF(MOD(SUM(V28:Y28)+SUM(Q28:T28),2)=0,1,0)</f>
        <v>1</v>
      </c>
      <c r="Q30" s="29" t="s">
        <v>61</v>
      </c>
      <c r="R30" s="29"/>
      <c r="S30" s="29"/>
      <c r="T30" s="2">
        <f>IF(T24=1,1,0)</f>
        <v>1</v>
      </c>
      <c r="V30" s="29" t="s">
        <v>62</v>
      </c>
      <c r="W30" s="29"/>
      <c r="X30" s="29"/>
      <c r="Y30" s="2">
        <f>IF(AA28=0,1,0)</f>
        <v>0</v>
      </c>
      <c r="AA30" s="9" t="s">
        <v>63</v>
      </c>
      <c r="AB30">
        <f>IF(AA28&lt;0,1,0)</f>
        <v>1</v>
      </c>
      <c r="AC30" s="3" t="s">
        <v>64</v>
      </c>
      <c r="AD30">
        <f>IF(AND(G24+G25+G26+G28=2,OR(G24+G28=2,G25+G26=2)),1,0)</f>
        <v>1</v>
      </c>
      <c r="AI30" s="26"/>
      <c r="AJ30" s="27"/>
      <c r="AK30" s="27"/>
      <c r="AL30" s="28"/>
    </row>
    <row r="31" spans="4:38" x14ac:dyDescent="0.25">
      <c r="G31" s="6">
        <f>INT((H31+H32+H33)/2)</f>
        <v>1</v>
      </c>
      <c r="H31" s="6">
        <f>INT((I31+I32+I33)/2)</f>
        <v>0</v>
      </c>
      <c r="I31" s="6">
        <f>INT((J31+J32+J33)/2)</f>
        <v>0</v>
      </c>
      <c r="J31" s="6">
        <f>L31</f>
        <v>0</v>
      </c>
      <c r="K31" s="6"/>
      <c r="L31" s="6">
        <f>INT((M31+M32+M33)/2)</f>
        <v>0</v>
      </c>
      <c r="M31" s="6">
        <f>INT((N31+N32+N33)/2)</f>
        <v>0</v>
      </c>
      <c r="N31" s="6">
        <f>INT((O31+O32+O33)/2)</f>
        <v>1</v>
      </c>
      <c r="O31" s="6">
        <f>Q31</f>
        <v>0</v>
      </c>
      <c r="P31" s="6"/>
      <c r="Q31" s="6">
        <f>INT((R31+R32+R33)/2)</f>
        <v>0</v>
      </c>
      <c r="R31" s="6">
        <f>INT((S31+S32+S33)/2)</f>
        <v>1</v>
      </c>
      <c r="S31" s="6">
        <f>INT((T31+T32+T33)/2)</f>
        <v>1</v>
      </c>
      <c r="T31" s="6">
        <f>V31</f>
        <v>1</v>
      </c>
      <c r="U31" s="6"/>
      <c r="V31" s="6">
        <f>INT((W31+W32+W33)/2)</f>
        <v>1</v>
      </c>
      <c r="W31" s="6">
        <f>INT((X31+X32+X33)/2)</f>
        <v>1</v>
      </c>
      <c r="X31" s="6">
        <f>INT((Y31+Y32+Y33)/2)</f>
        <v>1</v>
      </c>
      <c r="Y31" s="6">
        <v>0</v>
      </c>
    </row>
    <row r="32" spans="4:38" ht="18" x14ac:dyDescent="0.35">
      <c r="E32" t="s">
        <v>44</v>
      </c>
      <c r="G32" s="2" t="str">
        <f t="shared" ref="G32:Y32" si="21">G5</f>
        <v>0</v>
      </c>
      <c r="H32" s="2" t="str">
        <f t="shared" si="21"/>
        <v>1</v>
      </c>
      <c r="I32" s="2" t="str">
        <f t="shared" si="21"/>
        <v>0</v>
      </c>
      <c r="J32" s="2" t="str">
        <f t="shared" si="21"/>
        <v>0</v>
      </c>
      <c r="K32" s="2" t="str">
        <f t="shared" si="21"/>
        <v>.</v>
      </c>
      <c r="L32" s="2" t="str">
        <f t="shared" si="21"/>
        <v>0</v>
      </c>
      <c r="M32" s="2" t="str">
        <f t="shared" si="21"/>
        <v>0</v>
      </c>
      <c r="N32" s="2" t="str">
        <f t="shared" si="21"/>
        <v>0</v>
      </c>
      <c r="O32" s="2" t="str">
        <f t="shared" si="21"/>
        <v>1</v>
      </c>
      <c r="P32" s="2" t="str">
        <f t="shared" si="21"/>
        <v>.</v>
      </c>
      <c r="Q32" s="2" t="str">
        <f t="shared" si="21"/>
        <v>0</v>
      </c>
      <c r="R32" s="2" t="str">
        <f t="shared" si="21"/>
        <v>0</v>
      </c>
      <c r="S32" s="2" t="str">
        <f t="shared" si="21"/>
        <v>1</v>
      </c>
      <c r="T32" s="2" t="str">
        <f t="shared" si="21"/>
        <v>1</v>
      </c>
      <c r="U32" s="2" t="str">
        <f t="shared" si="21"/>
        <v>.</v>
      </c>
      <c r="V32" s="2" t="str">
        <f t="shared" si="21"/>
        <v>1</v>
      </c>
      <c r="W32" s="2" t="str">
        <f t="shared" si="21"/>
        <v>1</v>
      </c>
      <c r="X32" s="2" t="str">
        <f t="shared" si="21"/>
        <v>1</v>
      </c>
      <c r="Y32" s="2" t="str">
        <f t="shared" si="21"/>
        <v>1</v>
      </c>
      <c r="AE32" s="2" t="s">
        <v>52</v>
      </c>
      <c r="AG32">
        <f>C5</f>
        <v>16703</v>
      </c>
      <c r="AI32" s="20" t="s">
        <v>74</v>
      </c>
      <c r="AJ32" s="21"/>
      <c r="AK32" s="21"/>
      <c r="AL32" s="22"/>
    </row>
    <row r="33" spans="4:38" ht="18" x14ac:dyDescent="0.35">
      <c r="D33" s="1" t="s">
        <v>45</v>
      </c>
      <c r="E33" t="s">
        <v>57</v>
      </c>
      <c r="G33" s="2" t="str">
        <f t="shared" ref="G33:Y33" si="22">G10</f>
        <v>1</v>
      </c>
      <c r="H33" s="2" t="str">
        <f t="shared" si="22"/>
        <v>1</v>
      </c>
      <c r="I33" s="2" t="str">
        <f t="shared" si="22"/>
        <v>1</v>
      </c>
      <c r="J33" s="2" t="str">
        <f t="shared" si="22"/>
        <v>1</v>
      </c>
      <c r="K33" s="2" t="str">
        <f t="shared" si="22"/>
        <v>.</v>
      </c>
      <c r="L33" s="2" t="str">
        <f t="shared" si="22"/>
        <v>1</v>
      </c>
      <c r="M33" s="2" t="str">
        <f t="shared" si="22"/>
        <v>1</v>
      </c>
      <c r="N33" s="2" t="str">
        <f t="shared" si="22"/>
        <v>0</v>
      </c>
      <c r="O33" s="2" t="str">
        <f t="shared" si="22"/>
        <v>1</v>
      </c>
      <c r="P33" s="2" t="str">
        <f t="shared" si="22"/>
        <v>.</v>
      </c>
      <c r="Q33" s="2" t="str">
        <f t="shared" si="22"/>
        <v>0</v>
      </c>
      <c r="R33" s="2" t="str">
        <f t="shared" si="22"/>
        <v>0</v>
      </c>
      <c r="S33" s="2" t="str">
        <f t="shared" si="22"/>
        <v>0</v>
      </c>
      <c r="T33" s="2" t="str">
        <f t="shared" si="22"/>
        <v>0</v>
      </c>
      <c r="U33" s="2" t="str">
        <f t="shared" si="22"/>
        <v>.</v>
      </c>
      <c r="V33" s="2" t="str">
        <f t="shared" si="22"/>
        <v>1</v>
      </c>
      <c r="W33" s="2" t="str">
        <f t="shared" si="22"/>
        <v>1</v>
      </c>
      <c r="X33" s="2" t="str">
        <f t="shared" si="22"/>
        <v>0</v>
      </c>
      <c r="Y33" s="2" t="str">
        <f t="shared" si="22"/>
        <v>1</v>
      </c>
      <c r="AD33" s="4" t="s">
        <v>45</v>
      </c>
      <c r="AE33" s="2" t="s">
        <v>58</v>
      </c>
      <c r="AG33">
        <f>C10</f>
        <v>-755</v>
      </c>
      <c r="AI33" s="23"/>
      <c r="AJ33" s="24"/>
      <c r="AK33" s="24"/>
      <c r="AL33" s="25"/>
    </row>
    <row r="34" spans="4:38" x14ac:dyDescent="0.25">
      <c r="E34" s="5" t="s">
        <v>46</v>
      </c>
      <c r="F34" s="5" t="s">
        <v>46</v>
      </c>
      <c r="G34" s="5" t="s">
        <v>47</v>
      </c>
      <c r="H34" s="5" t="s">
        <v>47</v>
      </c>
      <c r="I34" s="5" t="s">
        <v>47</v>
      </c>
      <c r="J34" s="5" t="s">
        <v>47</v>
      </c>
      <c r="K34" s="5" t="s">
        <v>47</v>
      </c>
      <c r="L34" s="5" t="s">
        <v>47</v>
      </c>
      <c r="M34" s="5" t="s">
        <v>47</v>
      </c>
      <c r="N34" s="5" t="s">
        <v>47</v>
      </c>
      <c r="O34" s="5" t="s">
        <v>47</v>
      </c>
      <c r="P34" s="5" t="s">
        <v>47</v>
      </c>
      <c r="Q34" s="5" t="s">
        <v>47</v>
      </c>
      <c r="R34" s="5" t="s">
        <v>47</v>
      </c>
      <c r="S34" s="5" t="s">
        <v>47</v>
      </c>
      <c r="T34" s="5" t="s">
        <v>47</v>
      </c>
      <c r="U34" s="5" t="s">
        <v>47</v>
      </c>
      <c r="V34" s="5" t="s">
        <v>47</v>
      </c>
      <c r="W34" s="5" t="s">
        <v>47</v>
      </c>
      <c r="X34" s="5" t="s">
        <v>47</v>
      </c>
      <c r="Y34" s="5" t="s">
        <v>47</v>
      </c>
      <c r="AC34" s="10" t="s">
        <v>50</v>
      </c>
      <c r="AE34" s="5" t="s">
        <v>53</v>
      </c>
      <c r="AF34" s="5" t="s">
        <v>54</v>
      </c>
      <c r="AG34" s="5" t="s">
        <v>54</v>
      </c>
      <c r="AI34" s="23"/>
      <c r="AJ34" s="24"/>
      <c r="AK34" s="24"/>
      <c r="AL34" s="25"/>
    </row>
    <row r="35" spans="4:38" ht="18" x14ac:dyDescent="0.35">
      <c r="G35" s="2">
        <f>MOD((G31+G32+G33),2)</f>
        <v>0</v>
      </c>
      <c r="H35" s="2">
        <f>MOD((H31+H32+H33),2)</f>
        <v>0</v>
      </c>
      <c r="I35" s="2">
        <f>MOD((I31+I32+I33),2)</f>
        <v>1</v>
      </c>
      <c r="J35" s="2">
        <f>MOD((J31+J32+J33),2)</f>
        <v>1</v>
      </c>
      <c r="K35" s="2" t="s">
        <v>42</v>
      </c>
      <c r="L35" s="2">
        <f>MOD((L31+L32+L33),2)</f>
        <v>1</v>
      </c>
      <c r="M35" s="2">
        <f>MOD((M31+M32+M33),2)</f>
        <v>1</v>
      </c>
      <c r="N35" s="2">
        <f>MOD((N31+N32+N33),2)</f>
        <v>1</v>
      </c>
      <c r="O35" s="2">
        <f>MOD((O31+O32+O33),2)</f>
        <v>0</v>
      </c>
      <c r="P35" s="2" t="s">
        <v>42</v>
      </c>
      <c r="Q35" s="2">
        <f>MOD((Q31+Q32+Q33),2)</f>
        <v>0</v>
      </c>
      <c r="R35" s="2">
        <f>MOD((R31+R32+R33),2)</f>
        <v>1</v>
      </c>
      <c r="S35" s="2">
        <f>MOD((S31+S32+S33),2)</f>
        <v>0</v>
      </c>
      <c r="T35" s="2">
        <f>MOD((T31+T32+T33),2)</f>
        <v>0</v>
      </c>
      <c r="U35" s="2" t="s">
        <v>42</v>
      </c>
      <c r="V35" s="2">
        <f>MOD((V31+V32+V33),2)</f>
        <v>1</v>
      </c>
      <c r="W35" s="2">
        <f>MOD((W31+W32+W33),2)</f>
        <v>1</v>
      </c>
      <c r="X35" s="2">
        <f>MOD((X31+X32+X33),2)</f>
        <v>0</v>
      </c>
      <c r="Y35" s="2">
        <f>MOD((Y31+Y32+Y33),2)</f>
        <v>0</v>
      </c>
      <c r="Z35" s="7" t="s">
        <v>48</v>
      </c>
      <c r="AA35" s="2">
        <f>ToFormat(C5+C10)</f>
        <v>15948</v>
      </c>
      <c r="AB35" s="8" t="s">
        <v>49</v>
      </c>
      <c r="AG35">
        <f>AG32+AG33</f>
        <v>15948</v>
      </c>
      <c r="AH35" s="8" t="s">
        <v>49</v>
      </c>
      <c r="AI35" s="23"/>
      <c r="AJ35" s="24"/>
      <c r="AK35" s="24"/>
      <c r="AL35" s="25"/>
    </row>
    <row r="36" spans="4:38" x14ac:dyDescent="0.25">
      <c r="AI36" s="23"/>
      <c r="AJ36" s="24"/>
      <c r="AK36" s="24"/>
      <c r="AL36" s="25"/>
    </row>
    <row r="37" spans="4:38" x14ac:dyDescent="0.25">
      <c r="G37" s="29" t="s">
        <v>59</v>
      </c>
      <c r="H37" s="29"/>
      <c r="I37" s="29"/>
      <c r="J37" s="2">
        <f>IF((G31+G32+G33)&gt;1,1,0)</f>
        <v>1</v>
      </c>
      <c r="L37" s="29" t="s">
        <v>60</v>
      </c>
      <c r="M37" s="29"/>
      <c r="N37" s="29"/>
      <c r="O37" s="2">
        <f>IF(MOD(SUM(V35:Y35)+SUM(Q35:T35),2)=0,1,0)</f>
        <v>0</v>
      </c>
      <c r="Q37" s="29" t="s">
        <v>61</v>
      </c>
      <c r="R37" s="29"/>
      <c r="S37" s="29"/>
      <c r="T37" s="2">
        <f>IF(T31=1,1,0)</f>
        <v>1</v>
      </c>
      <c r="V37" s="29" t="s">
        <v>62</v>
      </c>
      <c r="W37" s="29"/>
      <c r="X37" s="29"/>
      <c r="Y37" s="2">
        <f>IF(AA35=0,1,0)</f>
        <v>0</v>
      </c>
      <c r="AA37" s="9" t="s">
        <v>63</v>
      </c>
      <c r="AB37">
        <f>IF(AA35&lt;0,1,0)</f>
        <v>0</v>
      </c>
      <c r="AC37" s="3" t="s">
        <v>64</v>
      </c>
      <c r="AD37">
        <f>IF(AND(G31+G32+G33+G35=2,OR(G31+G35=2,G32+G33=2)),1,0)</f>
        <v>0</v>
      </c>
      <c r="AI37" s="26"/>
      <c r="AJ37" s="27"/>
      <c r="AK37" s="27"/>
      <c r="AL37" s="28"/>
    </row>
    <row r="38" spans="4:38" x14ac:dyDescent="0.25">
      <c r="G38" s="6">
        <f>INT((H38+H39+H40)/2)</f>
        <v>1</v>
      </c>
      <c r="H38" s="6">
        <f>INT((I38+I39+I40)/2)</f>
        <v>1</v>
      </c>
      <c r="I38" s="6">
        <f>INT((J38+J39+J40)/2)</f>
        <v>1</v>
      </c>
      <c r="J38" s="6">
        <f>L38</f>
        <v>1</v>
      </c>
      <c r="K38" s="6"/>
      <c r="L38" s="6">
        <f>INT((M38+M39+M40)/2)</f>
        <v>1</v>
      </c>
      <c r="M38" s="6">
        <f>INT((N38+N39+N40)/2)</f>
        <v>0</v>
      </c>
      <c r="N38" s="6">
        <f>INT((O38+O39+O40)/2)</f>
        <v>0</v>
      </c>
      <c r="O38" s="6">
        <f>Q38</f>
        <v>0</v>
      </c>
      <c r="P38" s="6"/>
      <c r="Q38" s="6">
        <f>INT((R38+R39+R40)/2)</f>
        <v>0</v>
      </c>
      <c r="R38" s="6">
        <f>INT((S38+S39+S40)/2)</f>
        <v>0</v>
      </c>
      <c r="S38" s="6">
        <f>INT((T38+T39+T40)/2)</f>
        <v>0</v>
      </c>
      <c r="T38" s="6">
        <f>V38</f>
        <v>0</v>
      </c>
      <c r="U38" s="6"/>
      <c r="V38" s="6">
        <f>INT((W38+W39+W40)/2)</f>
        <v>0</v>
      </c>
      <c r="W38" s="6">
        <f>INT((X38+X39+X40)/2)</f>
        <v>0</v>
      </c>
      <c r="X38" s="6">
        <f>INT((Y38+Y39+Y40)/2)</f>
        <v>1</v>
      </c>
      <c r="Y38" s="6">
        <v>0</v>
      </c>
    </row>
    <row r="39" spans="4:38" ht="18" x14ac:dyDescent="0.35">
      <c r="E39" t="s">
        <v>57</v>
      </c>
      <c r="G39" s="2" t="str">
        <f t="shared" ref="G39:Y39" si="23">G10</f>
        <v>1</v>
      </c>
      <c r="H39" s="2" t="str">
        <f t="shared" si="23"/>
        <v>1</v>
      </c>
      <c r="I39" s="2" t="str">
        <f t="shared" si="23"/>
        <v>1</v>
      </c>
      <c r="J39" s="2" t="str">
        <f t="shared" si="23"/>
        <v>1</v>
      </c>
      <c r="K39" s="2" t="str">
        <f t="shared" si="23"/>
        <v>.</v>
      </c>
      <c r="L39" s="2" t="str">
        <f t="shared" si="23"/>
        <v>1</v>
      </c>
      <c r="M39" s="2" t="str">
        <f t="shared" si="23"/>
        <v>1</v>
      </c>
      <c r="N39" s="2" t="str">
        <f t="shared" si="23"/>
        <v>0</v>
      </c>
      <c r="O39" s="2" t="str">
        <f t="shared" si="23"/>
        <v>1</v>
      </c>
      <c r="P39" s="2" t="str">
        <f t="shared" si="23"/>
        <v>.</v>
      </c>
      <c r="Q39" s="2" t="str">
        <f t="shared" si="23"/>
        <v>0</v>
      </c>
      <c r="R39" s="2" t="str">
        <f t="shared" si="23"/>
        <v>0</v>
      </c>
      <c r="S39" s="2" t="str">
        <f t="shared" si="23"/>
        <v>0</v>
      </c>
      <c r="T39" s="2" t="str">
        <f t="shared" si="23"/>
        <v>0</v>
      </c>
      <c r="U39" s="2" t="str">
        <f t="shared" si="23"/>
        <v>.</v>
      </c>
      <c r="V39" s="2" t="str">
        <f t="shared" si="23"/>
        <v>1</v>
      </c>
      <c r="W39" s="2" t="str">
        <f t="shared" si="23"/>
        <v>1</v>
      </c>
      <c r="X39" s="2" t="str">
        <f t="shared" si="23"/>
        <v>0</v>
      </c>
      <c r="Y39" s="2" t="str">
        <f t="shared" si="23"/>
        <v>1</v>
      </c>
      <c r="AE39" s="2" t="s">
        <v>58</v>
      </c>
      <c r="AG39">
        <f>C10</f>
        <v>-755</v>
      </c>
      <c r="AI39" s="11" t="s">
        <v>72</v>
      </c>
      <c r="AJ39" s="12"/>
      <c r="AK39" s="12"/>
      <c r="AL39" s="13"/>
    </row>
    <row r="40" spans="4:38" ht="18" x14ac:dyDescent="0.35">
      <c r="D40" s="1" t="s">
        <v>45</v>
      </c>
      <c r="E40" t="s">
        <v>65</v>
      </c>
      <c r="G40" s="2" t="str">
        <f t="shared" ref="G40:Y40" si="24">G11</f>
        <v>1</v>
      </c>
      <c r="H40" s="2" t="str">
        <f t="shared" si="24"/>
        <v>0</v>
      </c>
      <c r="I40" s="2" t="str">
        <f t="shared" si="24"/>
        <v>1</v>
      </c>
      <c r="J40" s="2" t="str">
        <f t="shared" si="24"/>
        <v>1</v>
      </c>
      <c r="K40" s="2" t="str">
        <f t="shared" si="24"/>
        <v>.</v>
      </c>
      <c r="L40" s="2" t="str">
        <f t="shared" si="24"/>
        <v>1</v>
      </c>
      <c r="M40" s="2" t="str">
        <f t="shared" si="24"/>
        <v>1</v>
      </c>
      <c r="N40" s="2" t="str">
        <f t="shared" si="24"/>
        <v>1</v>
      </c>
      <c r="O40" s="2" t="str">
        <f t="shared" si="24"/>
        <v>0</v>
      </c>
      <c r="P40" s="2" t="str">
        <f t="shared" si="24"/>
        <v>.</v>
      </c>
      <c r="Q40" s="2" t="str">
        <f t="shared" si="24"/>
        <v>1</v>
      </c>
      <c r="R40" s="2" t="str">
        <f t="shared" si="24"/>
        <v>1</v>
      </c>
      <c r="S40" s="2" t="str">
        <f t="shared" si="24"/>
        <v>0</v>
      </c>
      <c r="T40" s="2" t="str">
        <f t="shared" si="24"/>
        <v>0</v>
      </c>
      <c r="U40" s="2" t="str">
        <f t="shared" si="24"/>
        <v>.</v>
      </c>
      <c r="V40" s="2" t="str">
        <f t="shared" si="24"/>
        <v>0</v>
      </c>
      <c r="W40" s="2" t="str">
        <f t="shared" si="24"/>
        <v>0</v>
      </c>
      <c r="X40" s="2" t="str">
        <f t="shared" si="24"/>
        <v>0</v>
      </c>
      <c r="Y40" s="2" t="str">
        <f t="shared" si="24"/>
        <v>1</v>
      </c>
      <c r="AD40" s="4" t="s">
        <v>45</v>
      </c>
      <c r="AE40" s="2" t="s">
        <v>66</v>
      </c>
      <c r="AG40">
        <f>C11</f>
        <v>-16703</v>
      </c>
      <c r="AI40" s="14"/>
      <c r="AJ40" s="15"/>
      <c r="AK40" s="15"/>
      <c r="AL40" s="16"/>
    </row>
    <row r="41" spans="4:38" x14ac:dyDescent="0.25">
      <c r="E41" s="5" t="s">
        <v>46</v>
      </c>
      <c r="F41" s="5" t="s">
        <v>46</v>
      </c>
      <c r="G41" s="5" t="s">
        <v>47</v>
      </c>
      <c r="H41" s="5" t="s">
        <v>47</v>
      </c>
      <c r="I41" s="5" t="s">
        <v>47</v>
      </c>
      <c r="J41" s="5" t="s">
        <v>47</v>
      </c>
      <c r="K41" s="5" t="s">
        <v>47</v>
      </c>
      <c r="L41" s="5" t="s">
        <v>47</v>
      </c>
      <c r="M41" s="5" t="s">
        <v>47</v>
      </c>
      <c r="N41" s="5" t="s">
        <v>47</v>
      </c>
      <c r="O41" s="5" t="s">
        <v>47</v>
      </c>
      <c r="P41" s="5" t="s">
        <v>47</v>
      </c>
      <c r="Q41" s="5" t="s">
        <v>47</v>
      </c>
      <c r="R41" s="5" t="s">
        <v>47</v>
      </c>
      <c r="S41" s="5" t="s">
        <v>47</v>
      </c>
      <c r="T41" s="5" t="s">
        <v>47</v>
      </c>
      <c r="U41" s="5" t="s">
        <v>47</v>
      </c>
      <c r="V41" s="5" t="s">
        <v>47</v>
      </c>
      <c r="W41" s="5" t="s">
        <v>47</v>
      </c>
      <c r="X41" s="5" t="s">
        <v>47</v>
      </c>
      <c r="Y41" s="5" t="s">
        <v>47</v>
      </c>
      <c r="AC41" s="10" t="s">
        <v>50</v>
      </c>
      <c r="AE41" s="5" t="s">
        <v>53</v>
      </c>
      <c r="AF41" s="5" t="s">
        <v>54</v>
      </c>
      <c r="AG41" s="5" t="s">
        <v>54</v>
      </c>
      <c r="AI41" s="14"/>
      <c r="AJ41" s="15"/>
      <c r="AK41" s="15"/>
      <c r="AL41" s="16"/>
    </row>
    <row r="42" spans="4:38" ht="18" x14ac:dyDescent="0.35">
      <c r="G42" s="2">
        <f>MOD((G38+G39+G40),2)</f>
        <v>1</v>
      </c>
      <c r="H42" s="2">
        <f>MOD((H38+H39+H40),2)</f>
        <v>0</v>
      </c>
      <c r="I42" s="2">
        <f>MOD((I38+I39+I40),2)</f>
        <v>1</v>
      </c>
      <c r="J42" s="2">
        <f>MOD((J38+J39+J40),2)</f>
        <v>1</v>
      </c>
      <c r="K42" s="2" t="s">
        <v>42</v>
      </c>
      <c r="L42" s="2">
        <f>MOD((L38+L39+L40),2)</f>
        <v>1</v>
      </c>
      <c r="M42" s="2">
        <f>MOD((M38+M39+M40),2)</f>
        <v>0</v>
      </c>
      <c r="N42" s="2">
        <f>MOD((N38+N39+N40),2)</f>
        <v>1</v>
      </c>
      <c r="O42" s="2">
        <f>MOD((O38+O39+O40),2)</f>
        <v>1</v>
      </c>
      <c r="P42" s="2" t="s">
        <v>42</v>
      </c>
      <c r="Q42" s="2">
        <f>MOD((Q38+Q39+Q40),2)</f>
        <v>1</v>
      </c>
      <c r="R42" s="2">
        <f>MOD((R38+R39+R40),2)</f>
        <v>1</v>
      </c>
      <c r="S42" s="2">
        <f>MOD((S38+S39+S40),2)</f>
        <v>0</v>
      </c>
      <c r="T42" s="2">
        <f>MOD((T38+T39+T40),2)</f>
        <v>0</v>
      </c>
      <c r="U42" s="2" t="s">
        <v>42</v>
      </c>
      <c r="V42" s="2">
        <f>MOD((V38+V39+V40),2)</f>
        <v>1</v>
      </c>
      <c r="W42" s="2">
        <f>MOD((W38+W39+W40),2)</f>
        <v>1</v>
      </c>
      <c r="X42" s="2">
        <f>MOD((X38+X39+X40),2)</f>
        <v>1</v>
      </c>
      <c r="Y42" s="2">
        <f>MOD((Y38+Y39+Y40),2)</f>
        <v>0</v>
      </c>
      <c r="Z42" s="7" t="s">
        <v>48</v>
      </c>
      <c r="AA42" s="2">
        <f>ToFormat(C10+C11)</f>
        <v>-17458</v>
      </c>
      <c r="AB42" s="8" t="s">
        <v>49</v>
      </c>
      <c r="AG42">
        <f>AG39+AG40</f>
        <v>-17458</v>
      </c>
      <c r="AH42" s="8" t="s">
        <v>49</v>
      </c>
      <c r="AI42" s="14"/>
      <c r="AJ42" s="15"/>
      <c r="AK42" s="15"/>
      <c r="AL42" s="16"/>
    </row>
    <row r="43" spans="4:38" x14ac:dyDescent="0.25">
      <c r="AI43" s="14"/>
      <c r="AJ43" s="15"/>
      <c r="AK43" s="15"/>
      <c r="AL43" s="16"/>
    </row>
    <row r="44" spans="4:38" x14ac:dyDescent="0.25">
      <c r="G44" s="29" t="s">
        <v>59</v>
      </c>
      <c r="H44" s="29"/>
      <c r="I44" s="29"/>
      <c r="J44" s="2">
        <f>IF((G38+G39+G40)&gt;1,1,0)</f>
        <v>1</v>
      </c>
      <c r="L44" s="29" t="s">
        <v>60</v>
      </c>
      <c r="M44" s="29"/>
      <c r="N44" s="29"/>
      <c r="O44" s="2">
        <f>IF(MOD(SUM(V42:Y42)+SUM(Q42:T42),2)=0,1,0)</f>
        <v>0</v>
      </c>
      <c r="Q44" s="29" t="s">
        <v>61</v>
      </c>
      <c r="R44" s="29"/>
      <c r="S44" s="29"/>
      <c r="T44" s="2">
        <f>IF(T38=1,1,0)</f>
        <v>0</v>
      </c>
      <c r="V44" s="29" t="s">
        <v>62</v>
      </c>
      <c r="W44" s="29"/>
      <c r="X44" s="29"/>
      <c r="Y44" s="2">
        <f>IF(AA42=0,1,0)</f>
        <v>0</v>
      </c>
      <c r="AA44" s="9" t="s">
        <v>63</v>
      </c>
      <c r="AB44">
        <f>IF(AA42&lt;0,1,0)</f>
        <v>1</v>
      </c>
      <c r="AC44" s="3" t="s">
        <v>64</v>
      </c>
      <c r="AD44">
        <f>IF(AND(G38+G39+G40+G42=2,OR(G38+G42=2,G39+G40=2)),1,0)</f>
        <v>0</v>
      </c>
      <c r="AI44" s="17"/>
      <c r="AJ44" s="18"/>
      <c r="AK44" s="18"/>
      <c r="AL44" s="19"/>
    </row>
    <row r="45" spans="4:38" x14ac:dyDescent="0.25">
      <c r="G45" s="6">
        <f>INT((H45+H46+H47)/2)</f>
        <v>0</v>
      </c>
      <c r="H45" s="6">
        <f>INT((I45+I46+I47)/2)</f>
        <v>1</v>
      </c>
      <c r="I45" s="6">
        <f>INT((J45+J46+J47)/2)</f>
        <v>1</v>
      </c>
      <c r="J45" s="6">
        <f>L45</f>
        <v>1</v>
      </c>
      <c r="K45" s="6"/>
      <c r="L45" s="6">
        <f>INT((M45+M46+M47)/2)</f>
        <v>1</v>
      </c>
      <c r="M45" s="6">
        <f>INT((N45+N46+N47)/2)</f>
        <v>1</v>
      </c>
      <c r="N45" s="6">
        <f>INT((O45+O46+O47)/2)</f>
        <v>1</v>
      </c>
      <c r="O45" s="6">
        <f>Q45</f>
        <v>1</v>
      </c>
      <c r="P45" s="6"/>
      <c r="Q45" s="6">
        <f>INT((R45+R46+R47)/2)</f>
        <v>1</v>
      </c>
      <c r="R45" s="6">
        <f>INT((S45+S46+S47)/2)</f>
        <v>0</v>
      </c>
      <c r="S45" s="6">
        <f>INT((T45+T46+T47)/2)</f>
        <v>0</v>
      </c>
      <c r="T45" s="6">
        <f>V45</f>
        <v>0</v>
      </c>
      <c r="U45" s="6"/>
      <c r="V45" s="6">
        <f>INT((W45+W46+W47)/2)</f>
        <v>0</v>
      </c>
      <c r="W45" s="6">
        <f>INT((X45+X46+X47)/2)</f>
        <v>0</v>
      </c>
      <c r="X45" s="6">
        <f>INT((Y45+Y46+Y47)/2)</f>
        <v>0</v>
      </c>
      <c r="Y45" s="6">
        <v>0</v>
      </c>
    </row>
    <row r="46" spans="4:38" ht="18" x14ac:dyDescent="0.35">
      <c r="E46" t="s">
        <v>65</v>
      </c>
      <c r="G46" s="2" t="str">
        <f t="shared" ref="G46:Y46" si="25">G11</f>
        <v>1</v>
      </c>
      <c r="H46" s="2" t="str">
        <f t="shared" si="25"/>
        <v>0</v>
      </c>
      <c r="I46" s="2" t="str">
        <f t="shared" si="25"/>
        <v>1</v>
      </c>
      <c r="J46" s="2" t="str">
        <f t="shared" si="25"/>
        <v>1</v>
      </c>
      <c r="K46" s="2" t="str">
        <f t="shared" si="25"/>
        <v>.</v>
      </c>
      <c r="L46" s="2" t="str">
        <f t="shared" si="25"/>
        <v>1</v>
      </c>
      <c r="M46" s="2" t="str">
        <f t="shared" si="25"/>
        <v>1</v>
      </c>
      <c r="N46" s="2" t="str">
        <f t="shared" si="25"/>
        <v>1</v>
      </c>
      <c r="O46" s="2" t="str">
        <f t="shared" si="25"/>
        <v>0</v>
      </c>
      <c r="P46" s="2" t="str">
        <f t="shared" si="25"/>
        <v>.</v>
      </c>
      <c r="Q46" s="2" t="str">
        <f t="shared" si="25"/>
        <v>1</v>
      </c>
      <c r="R46" s="2" t="str">
        <f t="shared" si="25"/>
        <v>1</v>
      </c>
      <c r="S46" s="2" t="str">
        <f t="shared" si="25"/>
        <v>0</v>
      </c>
      <c r="T46" s="2" t="str">
        <f t="shared" si="25"/>
        <v>0</v>
      </c>
      <c r="U46" s="2" t="str">
        <f t="shared" si="25"/>
        <v>.</v>
      </c>
      <c r="V46" s="2" t="str">
        <f t="shared" si="25"/>
        <v>0</v>
      </c>
      <c r="W46" s="2" t="str">
        <f t="shared" si="25"/>
        <v>0</v>
      </c>
      <c r="X46" s="2" t="str">
        <f t="shared" si="25"/>
        <v>0</v>
      </c>
      <c r="Y46" s="2" t="str">
        <f t="shared" si="25"/>
        <v>1</v>
      </c>
      <c r="AE46" s="2" t="s">
        <v>66</v>
      </c>
      <c r="AG46">
        <f>C11</f>
        <v>-16703</v>
      </c>
      <c r="AI46" s="20" t="s">
        <v>75</v>
      </c>
      <c r="AJ46" s="21"/>
      <c r="AK46" s="21"/>
      <c r="AL46" s="22"/>
    </row>
    <row r="47" spans="4:38" ht="18" x14ac:dyDescent="0.35">
      <c r="D47" s="1" t="s">
        <v>45</v>
      </c>
      <c r="E47" t="s">
        <v>67</v>
      </c>
      <c r="G47" s="2" t="str">
        <f t="shared" ref="G47:Y47" si="26">G12</f>
        <v>1</v>
      </c>
      <c r="H47" s="2" t="str">
        <f t="shared" si="26"/>
        <v>0</v>
      </c>
      <c r="I47" s="2" t="str">
        <f t="shared" si="26"/>
        <v>1</v>
      </c>
      <c r="J47" s="2" t="str">
        <f t="shared" si="26"/>
        <v>1</v>
      </c>
      <c r="K47" s="2" t="str">
        <f t="shared" si="26"/>
        <v>.</v>
      </c>
      <c r="L47" s="2" t="str">
        <f t="shared" si="26"/>
        <v>1</v>
      </c>
      <c r="M47" s="2" t="str">
        <f t="shared" si="26"/>
        <v>0</v>
      </c>
      <c r="N47" s="2" t="str">
        <f t="shared" si="26"/>
        <v>1</v>
      </c>
      <c r="O47" s="2" t="str">
        <f t="shared" si="26"/>
        <v>1</v>
      </c>
      <c r="P47" s="2" t="str">
        <f t="shared" si="26"/>
        <v>.</v>
      </c>
      <c r="Q47" s="2" t="str">
        <f t="shared" si="26"/>
        <v>1</v>
      </c>
      <c r="R47" s="2" t="str">
        <f t="shared" si="26"/>
        <v>1</v>
      </c>
      <c r="S47" s="2" t="str">
        <f t="shared" si="26"/>
        <v>0</v>
      </c>
      <c r="T47" s="2" t="str">
        <f t="shared" si="26"/>
        <v>0</v>
      </c>
      <c r="U47" s="2" t="str">
        <f t="shared" si="26"/>
        <v>.</v>
      </c>
      <c r="V47" s="2" t="str">
        <f t="shared" si="26"/>
        <v>1</v>
      </c>
      <c r="W47" s="2" t="str">
        <f t="shared" si="26"/>
        <v>1</v>
      </c>
      <c r="X47" s="2" t="str">
        <f t="shared" si="26"/>
        <v>1</v>
      </c>
      <c r="Y47" s="2" t="str">
        <f t="shared" si="26"/>
        <v>0</v>
      </c>
      <c r="AD47" s="4" t="s">
        <v>45</v>
      </c>
      <c r="AE47" s="2" t="s">
        <v>69</v>
      </c>
      <c r="AG47">
        <f>C12</f>
        <v>-17458</v>
      </c>
      <c r="AI47" s="23"/>
      <c r="AJ47" s="24"/>
      <c r="AK47" s="24"/>
      <c r="AL47" s="25"/>
    </row>
    <row r="48" spans="4:38" x14ac:dyDescent="0.25">
      <c r="E48" s="5" t="s">
        <v>46</v>
      </c>
      <c r="F48" s="5" t="s">
        <v>46</v>
      </c>
      <c r="G48" s="5" t="s">
        <v>47</v>
      </c>
      <c r="H48" s="5" t="s">
        <v>47</v>
      </c>
      <c r="I48" s="5" t="s">
        <v>47</v>
      </c>
      <c r="J48" s="5" t="s">
        <v>47</v>
      </c>
      <c r="K48" s="5" t="s">
        <v>47</v>
      </c>
      <c r="L48" s="5" t="s">
        <v>47</v>
      </c>
      <c r="M48" s="5" t="s">
        <v>47</v>
      </c>
      <c r="N48" s="5" t="s">
        <v>47</v>
      </c>
      <c r="O48" s="5" t="s">
        <v>47</v>
      </c>
      <c r="P48" s="5" t="s">
        <v>47</v>
      </c>
      <c r="Q48" s="5" t="s">
        <v>47</v>
      </c>
      <c r="R48" s="5" t="s">
        <v>47</v>
      </c>
      <c r="S48" s="5" t="s">
        <v>47</v>
      </c>
      <c r="T48" s="5" t="s">
        <v>47</v>
      </c>
      <c r="U48" s="5" t="s">
        <v>47</v>
      </c>
      <c r="V48" s="5" t="s">
        <v>47</v>
      </c>
      <c r="W48" s="5" t="s">
        <v>47</v>
      </c>
      <c r="X48" s="5" t="s">
        <v>47</v>
      </c>
      <c r="Y48" s="5" t="s">
        <v>47</v>
      </c>
      <c r="AC48" s="10" t="s">
        <v>68</v>
      </c>
      <c r="AE48" s="5" t="s">
        <v>53</v>
      </c>
      <c r="AF48" s="5" t="s">
        <v>54</v>
      </c>
      <c r="AG48" s="5" t="s">
        <v>54</v>
      </c>
      <c r="AI48" s="23"/>
      <c r="AJ48" s="24"/>
      <c r="AK48" s="24"/>
      <c r="AL48" s="25"/>
    </row>
    <row r="49" spans="4:38" ht="18" x14ac:dyDescent="0.35">
      <c r="G49" s="2">
        <f>MOD((G45+G46+G47),2)</f>
        <v>0</v>
      </c>
      <c r="H49" s="2">
        <f>MOD((H45+H46+H47),2)</f>
        <v>1</v>
      </c>
      <c r="I49" s="2">
        <f>MOD((I45+I46+I47),2)</f>
        <v>1</v>
      </c>
      <c r="J49" s="2">
        <f>MOD((J45+J46+J47),2)</f>
        <v>1</v>
      </c>
      <c r="K49" s="2" t="s">
        <v>42</v>
      </c>
      <c r="L49" s="2">
        <f>MOD((L45+L46+L47),2)</f>
        <v>1</v>
      </c>
      <c r="M49" s="2">
        <f>MOD((M45+M46+M47),2)</f>
        <v>0</v>
      </c>
      <c r="N49" s="2">
        <f>MOD((N45+N46+N47),2)</f>
        <v>1</v>
      </c>
      <c r="O49" s="2">
        <f>MOD((O45+O46+O47),2)</f>
        <v>0</v>
      </c>
      <c r="P49" s="2" t="s">
        <v>42</v>
      </c>
      <c r="Q49" s="2">
        <f>MOD((Q45+Q46+Q47),2)</f>
        <v>1</v>
      </c>
      <c r="R49" s="2">
        <f>MOD((R45+R46+R47),2)</f>
        <v>0</v>
      </c>
      <c r="S49" s="2">
        <f>MOD((S45+S46+S47),2)</f>
        <v>0</v>
      </c>
      <c r="T49" s="2">
        <f>MOD((T45+T46+T47),2)</f>
        <v>0</v>
      </c>
      <c r="U49" s="2" t="s">
        <v>42</v>
      </c>
      <c r="V49" s="2">
        <f>MOD((V45+V46+V47),2)</f>
        <v>1</v>
      </c>
      <c r="W49" s="2">
        <f>MOD((W45+W46+W47),2)</f>
        <v>1</v>
      </c>
      <c r="X49" s="2">
        <f>MOD((X45+X46+X47),2)</f>
        <v>1</v>
      </c>
      <c r="Y49" s="2">
        <f>MOD((Y45+Y46+Y47),2)</f>
        <v>1</v>
      </c>
      <c r="Z49" s="7" t="s">
        <v>48</v>
      </c>
      <c r="AA49" s="2">
        <f>ToFormat(C11+C12)</f>
        <v>31375</v>
      </c>
      <c r="AB49" s="8" t="s">
        <v>49</v>
      </c>
      <c r="AG49">
        <f>AG46+AG47</f>
        <v>-34161</v>
      </c>
      <c r="AH49" s="8" t="s">
        <v>49</v>
      </c>
      <c r="AI49" s="23"/>
      <c r="AJ49" s="24"/>
      <c r="AK49" s="24"/>
      <c r="AL49" s="25"/>
    </row>
    <row r="50" spans="4:38" x14ac:dyDescent="0.25">
      <c r="AI50" s="23"/>
      <c r="AJ50" s="24"/>
      <c r="AK50" s="24"/>
      <c r="AL50" s="25"/>
    </row>
    <row r="51" spans="4:38" x14ac:dyDescent="0.25">
      <c r="G51" s="29" t="s">
        <v>59</v>
      </c>
      <c r="H51" s="29"/>
      <c r="I51" s="29"/>
      <c r="J51" s="2">
        <f>IF((G45+G46+G47)&gt;1,1,0)</f>
        <v>1</v>
      </c>
      <c r="L51" s="29" t="s">
        <v>60</v>
      </c>
      <c r="M51" s="29"/>
      <c r="N51" s="29"/>
      <c r="O51" s="2">
        <f>IF(MOD(SUM(V49:Y49)+SUM(Q49:T49),2)=0,1,0)</f>
        <v>0</v>
      </c>
      <c r="Q51" s="29" t="s">
        <v>61</v>
      </c>
      <c r="R51" s="29"/>
      <c r="S51" s="29"/>
      <c r="T51" s="2">
        <f>IF(T45=1,1,0)</f>
        <v>0</v>
      </c>
      <c r="V51" s="29" t="s">
        <v>62</v>
      </c>
      <c r="W51" s="29"/>
      <c r="X51" s="29"/>
      <c r="Y51" s="2">
        <f>IF(AA49=0,1,0)</f>
        <v>0</v>
      </c>
      <c r="AA51" s="9" t="s">
        <v>63</v>
      </c>
      <c r="AB51">
        <f>IF(AA49&lt;0,1,0)</f>
        <v>0</v>
      </c>
      <c r="AC51" s="3" t="s">
        <v>64</v>
      </c>
      <c r="AD51">
        <f>IF(AND(G45+G46+G47+G49=2,OR(G45+G49=2,G46+G47=2)),1,0)</f>
        <v>1</v>
      </c>
      <c r="AI51" s="26"/>
      <c r="AJ51" s="27"/>
      <c r="AK51" s="27"/>
      <c r="AL51" s="28"/>
    </row>
    <row r="52" spans="4:38" x14ac:dyDescent="0.25">
      <c r="G52" s="6">
        <f>INT((H52+H53+H54)/2)</f>
        <v>0</v>
      </c>
      <c r="H52" s="6">
        <f>INT((I52+I53+I54)/2)</f>
        <v>1</v>
      </c>
      <c r="I52" s="6">
        <f>INT((J52+J53+J54)/2)</f>
        <v>1</v>
      </c>
      <c r="J52" s="6">
        <f>L52</f>
        <v>1</v>
      </c>
      <c r="K52" s="6"/>
      <c r="L52" s="6">
        <f>INT((M52+M53+M54)/2)</f>
        <v>1</v>
      </c>
      <c r="M52" s="6">
        <f>INT((N52+N53+N54)/2)</f>
        <v>1</v>
      </c>
      <c r="N52" s="6">
        <f>INT((O52+O53+O54)/2)</f>
        <v>0</v>
      </c>
      <c r="O52" s="6">
        <f>Q52</f>
        <v>1</v>
      </c>
      <c r="P52" s="6"/>
      <c r="Q52" s="6">
        <f>INT((R52+R53+R54)/2)</f>
        <v>1</v>
      </c>
      <c r="R52" s="6">
        <f>INT((S52+S53+S54)/2)</f>
        <v>0</v>
      </c>
      <c r="S52" s="6">
        <f>INT((T52+T53+T54)/2)</f>
        <v>0</v>
      </c>
      <c r="T52" s="6">
        <f>V52</f>
        <v>0</v>
      </c>
      <c r="U52" s="6"/>
      <c r="V52" s="6">
        <f>INT((W52+W53+W54)/2)</f>
        <v>0</v>
      </c>
      <c r="W52" s="6">
        <f>INT((X52+X53+X54)/2)</f>
        <v>1</v>
      </c>
      <c r="X52" s="6">
        <f>INT((Y52+Y53+Y54)/2)</f>
        <v>1</v>
      </c>
      <c r="Y52" s="6">
        <v>0</v>
      </c>
    </row>
    <row r="53" spans="4:38" ht="18" x14ac:dyDescent="0.35">
      <c r="E53" t="s">
        <v>43</v>
      </c>
      <c r="G53" s="2" t="str">
        <f t="shared" ref="G53:Y53" si="27">G4</f>
        <v>0</v>
      </c>
      <c r="H53" s="2" t="str">
        <f t="shared" si="27"/>
        <v>0</v>
      </c>
      <c r="I53" s="2" t="str">
        <f t="shared" si="27"/>
        <v>0</v>
      </c>
      <c r="J53" s="2" t="str">
        <f t="shared" si="27"/>
        <v>0</v>
      </c>
      <c r="K53" s="2" t="str">
        <f t="shared" si="27"/>
        <v>.</v>
      </c>
      <c r="L53" s="2" t="str">
        <f t="shared" si="27"/>
        <v>0</v>
      </c>
      <c r="M53" s="2" t="str">
        <f t="shared" si="27"/>
        <v>0</v>
      </c>
      <c r="N53" s="2" t="str">
        <f t="shared" si="27"/>
        <v>1</v>
      </c>
      <c r="O53" s="2" t="str">
        <f t="shared" si="27"/>
        <v>0</v>
      </c>
      <c r="P53" s="2" t="str">
        <f t="shared" si="27"/>
        <v>.</v>
      </c>
      <c r="Q53" s="2" t="str">
        <f t="shared" si="27"/>
        <v>1</v>
      </c>
      <c r="R53" s="2" t="str">
        <f t="shared" si="27"/>
        <v>1</v>
      </c>
      <c r="S53" s="2" t="str">
        <f t="shared" si="27"/>
        <v>1</v>
      </c>
      <c r="T53" s="2" t="str">
        <f t="shared" si="27"/>
        <v>1</v>
      </c>
      <c r="U53" s="2" t="str">
        <f t="shared" si="27"/>
        <v>.</v>
      </c>
      <c r="V53" s="2" t="str">
        <f t="shared" si="27"/>
        <v>0</v>
      </c>
      <c r="W53" s="2" t="str">
        <f t="shared" si="27"/>
        <v>0</v>
      </c>
      <c r="X53" s="2" t="str">
        <f t="shared" si="27"/>
        <v>1</v>
      </c>
      <c r="Y53" s="2" t="str">
        <f t="shared" si="27"/>
        <v>1</v>
      </c>
      <c r="AE53" s="2" t="s">
        <v>51</v>
      </c>
      <c r="AG53">
        <f>C4</f>
        <v>755</v>
      </c>
      <c r="AI53" s="11" t="s">
        <v>72</v>
      </c>
      <c r="AJ53" s="12"/>
      <c r="AK53" s="12"/>
      <c r="AL53" s="13"/>
    </row>
    <row r="54" spans="4:38" ht="18" x14ac:dyDescent="0.35">
      <c r="D54" s="1" t="s">
        <v>45</v>
      </c>
      <c r="E54" t="s">
        <v>65</v>
      </c>
      <c r="G54" s="2" t="str">
        <f t="shared" ref="G54:Y54" si="28">G11</f>
        <v>1</v>
      </c>
      <c r="H54" s="2" t="str">
        <f t="shared" si="28"/>
        <v>0</v>
      </c>
      <c r="I54" s="2" t="str">
        <f t="shared" si="28"/>
        <v>1</v>
      </c>
      <c r="J54" s="2" t="str">
        <f t="shared" si="28"/>
        <v>1</v>
      </c>
      <c r="K54" s="2" t="str">
        <f t="shared" si="28"/>
        <v>.</v>
      </c>
      <c r="L54" s="2" t="str">
        <f t="shared" si="28"/>
        <v>1</v>
      </c>
      <c r="M54" s="2" t="str">
        <f t="shared" si="28"/>
        <v>1</v>
      </c>
      <c r="N54" s="2" t="str">
        <f t="shared" si="28"/>
        <v>1</v>
      </c>
      <c r="O54" s="2" t="str">
        <f t="shared" si="28"/>
        <v>0</v>
      </c>
      <c r="P54" s="2" t="str">
        <f t="shared" si="28"/>
        <v>.</v>
      </c>
      <c r="Q54" s="2" t="str">
        <f t="shared" si="28"/>
        <v>1</v>
      </c>
      <c r="R54" s="2" t="str">
        <f t="shared" si="28"/>
        <v>1</v>
      </c>
      <c r="S54" s="2" t="str">
        <f t="shared" si="28"/>
        <v>0</v>
      </c>
      <c r="T54" s="2" t="str">
        <f t="shared" si="28"/>
        <v>0</v>
      </c>
      <c r="U54" s="2" t="str">
        <f t="shared" si="28"/>
        <v>.</v>
      </c>
      <c r="V54" s="2" t="str">
        <f t="shared" si="28"/>
        <v>0</v>
      </c>
      <c r="W54" s="2" t="str">
        <f t="shared" si="28"/>
        <v>0</v>
      </c>
      <c r="X54" s="2" t="str">
        <f t="shared" si="28"/>
        <v>0</v>
      </c>
      <c r="Y54" s="2" t="str">
        <f t="shared" si="28"/>
        <v>1</v>
      </c>
      <c r="AD54" s="4" t="s">
        <v>45</v>
      </c>
      <c r="AE54" s="2" t="s">
        <v>66</v>
      </c>
      <c r="AG54">
        <f>C11</f>
        <v>-16703</v>
      </c>
      <c r="AI54" s="14"/>
      <c r="AJ54" s="15"/>
      <c r="AK54" s="15"/>
      <c r="AL54" s="16"/>
    </row>
    <row r="55" spans="4:38" x14ac:dyDescent="0.25">
      <c r="E55" s="5" t="s">
        <v>46</v>
      </c>
      <c r="F55" s="5" t="s">
        <v>46</v>
      </c>
      <c r="G55" s="5" t="s">
        <v>47</v>
      </c>
      <c r="H55" s="5" t="s">
        <v>47</v>
      </c>
      <c r="I55" s="5" t="s">
        <v>47</v>
      </c>
      <c r="J55" s="5" t="s">
        <v>47</v>
      </c>
      <c r="K55" s="5" t="s">
        <v>47</v>
      </c>
      <c r="L55" s="5" t="s">
        <v>47</v>
      </c>
      <c r="M55" s="5" t="s">
        <v>47</v>
      </c>
      <c r="N55" s="5" t="s">
        <v>47</v>
      </c>
      <c r="O55" s="5" t="s">
        <v>47</v>
      </c>
      <c r="P55" s="5" t="s">
        <v>47</v>
      </c>
      <c r="Q55" s="5" t="s">
        <v>47</v>
      </c>
      <c r="R55" s="5" t="s">
        <v>47</v>
      </c>
      <c r="S55" s="5" t="s">
        <v>47</v>
      </c>
      <c r="T55" s="5" t="s">
        <v>47</v>
      </c>
      <c r="U55" s="5" t="s">
        <v>47</v>
      </c>
      <c r="V55" s="5" t="s">
        <v>47</v>
      </c>
      <c r="W55" s="5" t="s">
        <v>47</v>
      </c>
      <c r="X55" s="5" t="s">
        <v>47</v>
      </c>
      <c r="Y55" s="5" t="s">
        <v>47</v>
      </c>
      <c r="AC55" s="10" t="s">
        <v>68</v>
      </c>
      <c r="AE55" s="5" t="s">
        <v>53</v>
      </c>
      <c r="AF55" s="5" t="s">
        <v>54</v>
      </c>
      <c r="AG55" s="5" t="s">
        <v>54</v>
      </c>
      <c r="AI55" s="14"/>
      <c r="AJ55" s="15"/>
      <c r="AK55" s="15"/>
      <c r="AL55" s="16"/>
    </row>
    <row r="56" spans="4:38" ht="18" x14ac:dyDescent="0.35">
      <c r="G56" s="2">
        <f>MOD((G52+G53+G54),2)</f>
        <v>1</v>
      </c>
      <c r="H56" s="2">
        <f>MOD((H52+H53+H54),2)</f>
        <v>1</v>
      </c>
      <c r="I56" s="2">
        <f>MOD((I52+I53+I54),2)</f>
        <v>0</v>
      </c>
      <c r="J56" s="2">
        <f>MOD((J52+J53+J54),2)</f>
        <v>0</v>
      </c>
      <c r="K56" s="2" t="s">
        <v>42</v>
      </c>
      <c r="L56" s="2">
        <f>MOD((L52+L53+L54),2)</f>
        <v>0</v>
      </c>
      <c r="M56" s="2">
        <f>MOD((M52+M53+M54),2)</f>
        <v>0</v>
      </c>
      <c r="N56" s="2">
        <f>MOD((N52+N53+N54),2)</f>
        <v>0</v>
      </c>
      <c r="O56" s="2">
        <f>MOD((O52+O53+O54),2)</f>
        <v>1</v>
      </c>
      <c r="P56" s="2" t="s">
        <v>42</v>
      </c>
      <c r="Q56" s="2">
        <f>MOD((Q52+Q53+Q54),2)</f>
        <v>1</v>
      </c>
      <c r="R56" s="2">
        <f>MOD((R52+R53+R54),2)</f>
        <v>0</v>
      </c>
      <c r="S56" s="2">
        <f>MOD((S52+S53+S54),2)</f>
        <v>1</v>
      </c>
      <c r="T56" s="2">
        <f>MOD((T52+T53+T54),2)</f>
        <v>1</v>
      </c>
      <c r="U56" s="2" t="s">
        <v>42</v>
      </c>
      <c r="V56" s="2">
        <f>MOD((V52+V53+V54),2)</f>
        <v>0</v>
      </c>
      <c r="W56" s="2">
        <f>MOD((W52+W53+W54),2)</f>
        <v>1</v>
      </c>
      <c r="X56" s="2">
        <f>MOD((X52+X53+X54),2)</f>
        <v>0</v>
      </c>
      <c r="Y56" s="2">
        <f>MOD((Y52+Y53+Y54),2)</f>
        <v>0</v>
      </c>
      <c r="Z56" s="7" t="s">
        <v>48</v>
      </c>
      <c r="AA56" s="2">
        <f>ToFormat(C4+C11)</f>
        <v>-15948</v>
      </c>
      <c r="AB56" s="8" t="s">
        <v>49</v>
      </c>
      <c r="AG56">
        <f>AG53+AG54</f>
        <v>-15948</v>
      </c>
      <c r="AH56" s="8" t="s">
        <v>49</v>
      </c>
      <c r="AI56" s="14"/>
      <c r="AJ56" s="15"/>
      <c r="AK56" s="15"/>
      <c r="AL56" s="16"/>
    </row>
    <row r="57" spans="4:38" x14ac:dyDescent="0.25">
      <c r="AI57" s="14"/>
      <c r="AJ57" s="15"/>
      <c r="AK57" s="15"/>
      <c r="AL57" s="16"/>
    </row>
    <row r="58" spans="4:38" x14ac:dyDescent="0.25">
      <c r="G58" s="29" t="s">
        <v>59</v>
      </c>
      <c r="H58" s="29"/>
      <c r="I58" s="29"/>
      <c r="J58" s="2">
        <f>IF((G52+G53+G54)&gt;1,1,0)</f>
        <v>0</v>
      </c>
      <c r="L58" s="29" t="s">
        <v>60</v>
      </c>
      <c r="M58" s="29"/>
      <c r="N58" s="29"/>
      <c r="O58" s="2">
        <f>IF(MOD(SUM(V56:Y56)+SUM(Q56:T56),2)=0,1,0)</f>
        <v>1</v>
      </c>
      <c r="Q58" s="29" t="s">
        <v>61</v>
      </c>
      <c r="R58" s="29"/>
      <c r="S58" s="29"/>
      <c r="T58" s="2">
        <f>IF(T52=1,1,0)</f>
        <v>0</v>
      </c>
      <c r="V58" s="29" t="s">
        <v>62</v>
      </c>
      <c r="W58" s="29"/>
      <c r="X58" s="29"/>
      <c r="Y58" s="2">
        <f>IF(AA56=0,1,0)</f>
        <v>0</v>
      </c>
      <c r="AA58" s="9" t="s">
        <v>63</v>
      </c>
      <c r="AB58">
        <f>IF(AA56&lt;0,1,0)</f>
        <v>1</v>
      </c>
      <c r="AC58" s="3" t="s">
        <v>64</v>
      </c>
      <c r="AD58">
        <f>IF(AND(G52+G53+G54+G56=2,OR(G52+G56=2,G53+G54=2)),1,0)</f>
        <v>0</v>
      </c>
      <c r="AI58" s="17"/>
      <c r="AJ58" s="18"/>
      <c r="AK58" s="18"/>
      <c r="AL58" s="19"/>
    </row>
    <row r="59" spans="4:38" x14ac:dyDescent="0.25">
      <c r="G59" s="6">
        <f>INT((H59+H60+H61)/2)</f>
        <v>1</v>
      </c>
      <c r="H59" s="6">
        <f>INT((I59+I60+I61)/2)</f>
        <v>0</v>
      </c>
      <c r="I59" s="6">
        <f>INT((J59+J60+J61)/2)</f>
        <v>0</v>
      </c>
      <c r="J59" s="6">
        <f>L59</f>
        <v>0</v>
      </c>
      <c r="K59" s="6"/>
      <c r="L59" s="6">
        <f>INT((M59+M60+M61)/2)</f>
        <v>0</v>
      </c>
      <c r="M59" s="6">
        <f>INT((N59+N60+N61)/2)</f>
        <v>0</v>
      </c>
      <c r="N59" s="6">
        <f>INT((O59+O60+O61)/2)</f>
        <v>0</v>
      </c>
      <c r="O59" s="6">
        <f>Q59</f>
        <v>0</v>
      </c>
      <c r="P59" s="6"/>
      <c r="Q59" s="6">
        <f>INT((R59+R60+R61)/2)</f>
        <v>0</v>
      </c>
      <c r="R59" s="6">
        <f>INT((S59+S60+S61)/2)</f>
        <v>1</v>
      </c>
      <c r="S59" s="6">
        <f>INT((T59+T60+T61)/2)</f>
        <v>1</v>
      </c>
      <c r="T59" s="6">
        <f>V59</f>
        <v>0</v>
      </c>
      <c r="U59" s="6"/>
      <c r="V59" s="6">
        <f>INT((W59+W60+W61)/2)</f>
        <v>0</v>
      </c>
      <c r="W59" s="6">
        <f>INT((X59+X60+X61)/2)</f>
        <v>0</v>
      </c>
      <c r="X59" s="6">
        <f>INT((Y59+Y60+Y61)/2)</f>
        <v>0</v>
      </c>
      <c r="Y59" s="6">
        <v>0</v>
      </c>
    </row>
    <row r="60" spans="4:38" ht="18" x14ac:dyDescent="0.35">
      <c r="E60" t="s">
        <v>70</v>
      </c>
      <c r="G60" s="2" t="str">
        <f t="shared" ref="G60:Y60" si="29">G14</f>
        <v>1</v>
      </c>
      <c r="H60" s="2" t="str">
        <f t="shared" si="29"/>
        <v>1</v>
      </c>
      <c r="I60" s="2" t="str">
        <f t="shared" si="29"/>
        <v>0</v>
      </c>
      <c r="J60" s="2" t="str">
        <f t="shared" si="29"/>
        <v>0</v>
      </c>
      <c r="K60" s="2" t="str">
        <f t="shared" si="29"/>
        <v>.</v>
      </c>
      <c r="L60" s="2" t="str">
        <f t="shared" si="29"/>
        <v>0</v>
      </c>
      <c r="M60" s="2" t="str">
        <f t="shared" si="29"/>
        <v>0</v>
      </c>
      <c r="N60" s="2" t="str">
        <f t="shared" si="29"/>
        <v>0</v>
      </c>
      <c r="O60" s="2" t="str">
        <f t="shared" si="29"/>
        <v>1</v>
      </c>
      <c r="P60" s="2" t="str">
        <f t="shared" si="29"/>
        <v>.</v>
      </c>
      <c r="Q60" s="2" t="str">
        <f t="shared" si="29"/>
        <v>1</v>
      </c>
      <c r="R60" s="2" t="str">
        <f t="shared" si="29"/>
        <v>0</v>
      </c>
      <c r="S60" s="2" t="str">
        <f t="shared" si="29"/>
        <v>1</v>
      </c>
      <c r="T60" s="2" t="str">
        <f t="shared" si="29"/>
        <v>1</v>
      </c>
      <c r="U60" s="2" t="str">
        <f t="shared" si="29"/>
        <v>.</v>
      </c>
      <c r="V60" s="2" t="str">
        <f t="shared" si="29"/>
        <v>0</v>
      </c>
      <c r="W60" s="2" t="str">
        <f t="shared" si="29"/>
        <v>1</v>
      </c>
      <c r="X60" s="2" t="str">
        <f t="shared" si="29"/>
        <v>0</v>
      </c>
      <c r="Y60" s="2" t="str">
        <f t="shared" si="29"/>
        <v>0</v>
      </c>
      <c r="AE60" s="2" t="s">
        <v>71</v>
      </c>
      <c r="AG60">
        <f>C14</f>
        <v>-15948</v>
      </c>
      <c r="AI60" s="20" t="s">
        <v>74</v>
      </c>
      <c r="AJ60" s="21"/>
      <c r="AK60" s="21"/>
      <c r="AL60" s="22"/>
    </row>
    <row r="61" spans="4:38" ht="18" x14ac:dyDescent="0.35">
      <c r="D61" s="1" t="s">
        <v>45</v>
      </c>
      <c r="E61" t="s">
        <v>55</v>
      </c>
      <c r="G61" s="2" t="str">
        <f t="shared" ref="G61:Y61" si="30">G6</f>
        <v>0</v>
      </c>
      <c r="H61" s="2" t="str">
        <f t="shared" si="30"/>
        <v>1</v>
      </c>
      <c r="I61" s="2" t="str">
        <f t="shared" si="30"/>
        <v>0</v>
      </c>
      <c r="J61" s="2" t="str">
        <f t="shared" si="30"/>
        <v>0</v>
      </c>
      <c r="K61" s="2" t="str">
        <f t="shared" si="30"/>
        <v>.</v>
      </c>
      <c r="L61" s="2" t="str">
        <f t="shared" si="30"/>
        <v>0</v>
      </c>
      <c r="M61" s="2" t="str">
        <f t="shared" si="30"/>
        <v>1</v>
      </c>
      <c r="N61" s="2" t="str">
        <f t="shared" si="30"/>
        <v>0</v>
      </c>
      <c r="O61" s="2" t="str">
        <f t="shared" si="30"/>
        <v>0</v>
      </c>
      <c r="P61" s="2" t="str">
        <f t="shared" si="30"/>
        <v>.</v>
      </c>
      <c r="Q61" s="2" t="str">
        <f t="shared" si="30"/>
        <v>0</v>
      </c>
      <c r="R61" s="2" t="str">
        <f t="shared" si="30"/>
        <v>0</v>
      </c>
      <c r="S61" s="2" t="str">
        <f t="shared" si="30"/>
        <v>1</v>
      </c>
      <c r="T61" s="2" t="str">
        <f t="shared" si="30"/>
        <v>1</v>
      </c>
      <c r="U61" s="2" t="str">
        <f t="shared" si="30"/>
        <v>.</v>
      </c>
      <c r="V61" s="2" t="str">
        <f t="shared" si="30"/>
        <v>0</v>
      </c>
      <c r="W61" s="2" t="str">
        <f t="shared" si="30"/>
        <v>0</v>
      </c>
      <c r="X61" s="2" t="str">
        <f t="shared" si="30"/>
        <v>1</v>
      </c>
      <c r="Y61" s="2" t="str">
        <f t="shared" si="30"/>
        <v>0</v>
      </c>
      <c r="AD61" s="4" t="s">
        <v>45</v>
      </c>
      <c r="AE61" s="2" t="s">
        <v>56</v>
      </c>
      <c r="AG61">
        <f>C6</f>
        <v>17458</v>
      </c>
      <c r="AI61" s="23"/>
      <c r="AJ61" s="24"/>
      <c r="AK61" s="24"/>
      <c r="AL61" s="25"/>
    </row>
    <row r="62" spans="4:38" x14ac:dyDescent="0.25">
      <c r="E62" s="5" t="s">
        <v>46</v>
      </c>
      <c r="F62" s="5" t="s">
        <v>46</v>
      </c>
      <c r="G62" s="5" t="s">
        <v>47</v>
      </c>
      <c r="H62" s="5" t="s">
        <v>47</v>
      </c>
      <c r="I62" s="5" t="s">
        <v>47</v>
      </c>
      <c r="J62" s="5" t="s">
        <v>47</v>
      </c>
      <c r="K62" s="5" t="s">
        <v>47</v>
      </c>
      <c r="L62" s="5" t="s">
        <v>47</v>
      </c>
      <c r="M62" s="5" t="s">
        <v>47</v>
      </c>
      <c r="N62" s="5" t="s">
        <v>47</v>
      </c>
      <c r="O62" s="5" t="s">
        <v>47</v>
      </c>
      <c r="P62" s="5" t="s">
        <v>47</v>
      </c>
      <c r="Q62" s="5" t="s">
        <v>47</v>
      </c>
      <c r="R62" s="5" t="s">
        <v>47</v>
      </c>
      <c r="S62" s="5" t="s">
        <v>47</v>
      </c>
      <c r="T62" s="5" t="s">
        <v>47</v>
      </c>
      <c r="U62" s="5" t="s">
        <v>47</v>
      </c>
      <c r="V62" s="5" t="s">
        <v>47</v>
      </c>
      <c r="W62" s="5" t="s">
        <v>47</v>
      </c>
      <c r="X62" s="5" t="s">
        <v>47</v>
      </c>
      <c r="Y62" s="5" t="s">
        <v>47</v>
      </c>
      <c r="AC62" s="10" t="s">
        <v>50</v>
      </c>
      <c r="AE62" s="5" t="s">
        <v>53</v>
      </c>
      <c r="AF62" s="5" t="s">
        <v>54</v>
      </c>
      <c r="AG62" s="5" t="s">
        <v>54</v>
      </c>
      <c r="AI62" s="23"/>
      <c r="AJ62" s="24"/>
      <c r="AK62" s="24"/>
      <c r="AL62" s="25"/>
    </row>
    <row r="63" spans="4:38" ht="18" x14ac:dyDescent="0.35">
      <c r="G63" s="2">
        <f>MOD((G59+G60+G61),2)</f>
        <v>0</v>
      </c>
      <c r="H63" s="2">
        <f>MOD((H59+H60+H61),2)</f>
        <v>0</v>
      </c>
      <c r="I63" s="2">
        <f>MOD((I59+I60+I61),2)</f>
        <v>0</v>
      </c>
      <c r="J63" s="2">
        <f>MOD((J59+J60+J61),2)</f>
        <v>0</v>
      </c>
      <c r="K63" s="2" t="s">
        <v>42</v>
      </c>
      <c r="L63" s="2">
        <f>MOD((L59+L60+L61),2)</f>
        <v>0</v>
      </c>
      <c r="M63" s="2">
        <f>MOD((M59+M60+M61),2)</f>
        <v>1</v>
      </c>
      <c r="N63" s="2">
        <f>MOD((N59+N60+N61),2)</f>
        <v>0</v>
      </c>
      <c r="O63" s="2">
        <f>MOD((O59+O60+O61),2)</f>
        <v>1</v>
      </c>
      <c r="P63" s="2" t="s">
        <v>42</v>
      </c>
      <c r="Q63" s="2">
        <f>MOD((Q59+Q60+Q61),2)</f>
        <v>1</v>
      </c>
      <c r="R63" s="2">
        <f>MOD((R59+R60+R61),2)</f>
        <v>1</v>
      </c>
      <c r="S63" s="2">
        <f>MOD((S59+S60+S61),2)</f>
        <v>1</v>
      </c>
      <c r="T63" s="2">
        <f>MOD((T59+T60+T61),2)</f>
        <v>0</v>
      </c>
      <c r="U63" s="2" t="s">
        <v>42</v>
      </c>
      <c r="V63" s="2">
        <f>MOD((V59+V60+V61),2)</f>
        <v>0</v>
      </c>
      <c r="W63" s="2">
        <f>MOD((W59+W60+W61),2)</f>
        <v>1</v>
      </c>
      <c r="X63" s="2">
        <f>MOD((X59+X60+X61),2)</f>
        <v>1</v>
      </c>
      <c r="Y63" s="2">
        <f>MOD((Y59+Y60+Y61),2)</f>
        <v>0</v>
      </c>
      <c r="Z63" s="7" t="s">
        <v>48</v>
      </c>
      <c r="AA63" s="2">
        <f>ToFormat(C14+C6)</f>
        <v>1510</v>
      </c>
      <c r="AB63" s="8" t="s">
        <v>49</v>
      </c>
      <c r="AG63">
        <f>AG60+AG61</f>
        <v>1510</v>
      </c>
      <c r="AH63" s="8" t="s">
        <v>49</v>
      </c>
      <c r="AI63" s="23"/>
      <c r="AJ63" s="24"/>
      <c r="AK63" s="24"/>
      <c r="AL63" s="25"/>
    </row>
    <row r="64" spans="4:38" x14ac:dyDescent="0.25">
      <c r="AI64" s="23"/>
      <c r="AJ64" s="24"/>
      <c r="AK64" s="24"/>
      <c r="AL64" s="25"/>
    </row>
    <row r="65" spans="7:38" x14ac:dyDescent="0.25">
      <c r="G65" s="29" t="s">
        <v>59</v>
      </c>
      <c r="H65" s="29"/>
      <c r="I65" s="29"/>
      <c r="J65" s="2">
        <f>IF((G59+G60+G61)&gt;1,1,0)</f>
        <v>1</v>
      </c>
      <c r="L65" s="29" t="s">
        <v>60</v>
      </c>
      <c r="M65" s="29"/>
      <c r="N65" s="29"/>
      <c r="O65" s="2">
        <f>IF(MOD(SUM(V63:Y63)+SUM(Q63:T63),2)=0,1,0)</f>
        <v>0</v>
      </c>
      <c r="Q65" s="29" t="s">
        <v>61</v>
      </c>
      <c r="R65" s="29"/>
      <c r="S65" s="29"/>
      <c r="T65" s="2">
        <f>IF(T59=1,1,0)</f>
        <v>0</v>
      </c>
      <c r="V65" s="29" t="s">
        <v>62</v>
      </c>
      <c r="W65" s="29"/>
      <c r="X65" s="29"/>
      <c r="Y65" s="2">
        <f>IF(AA63=0,1,0)</f>
        <v>0</v>
      </c>
      <c r="AA65" s="9" t="s">
        <v>63</v>
      </c>
      <c r="AB65">
        <f>IF(AA63&lt;0,1,0)</f>
        <v>0</v>
      </c>
      <c r="AC65" s="3" t="s">
        <v>64</v>
      </c>
      <c r="AD65">
        <f>IF(AND(G59+G60+G61+G63=2,OR(G59+G63=2,G60+G61=2)),1,0)</f>
        <v>0</v>
      </c>
      <c r="AI65" s="26"/>
      <c r="AJ65" s="27"/>
      <c r="AK65" s="27"/>
      <c r="AL65" s="28"/>
    </row>
  </sheetData>
  <mergeCells count="35">
    <mergeCell ref="G58:I58"/>
    <mergeCell ref="L58:N58"/>
    <mergeCell ref="Q58:S58"/>
    <mergeCell ref="V58:X58"/>
    <mergeCell ref="G23:I23"/>
    <mergeCell ref="L23:N23"/>
    <mergeCell ref="Q23:S23"/>
    <mergeCell ref="V23:X23"/>
    <mergeCell ref="G44:I44"/>
    <mergeCell ref="L44:N44"/>
    <mergeCell ref="Q44:S44"/>
    <mergeCell ref="V44:X44"/>
    <mergeCell ref="Q37:S37"/>
    <mergeCell ref="AI18:AL23"/>
    <mergeCell ref="AI25:AL30"/>
    <mergeCell ref="AI32:AL37"/>
    <mergeCell ref="G65:I65"/>
    <mergeCell ref="L65:N65"/>
    <mergeCell ref="Q65:S65"/>
    <mergeCell ref="V65:X65"/>
    <mergeCell ref="G30:I30"/>
    <mergeCell ref="L30:N30"/>
    <mergeCell ref="Q30:S30"/>
    <mergeCell ref="V30:X30"/>
    <mergeCell ref="G37:I37"/>
    <mergeCell ref="L37:N37"/>
    <mergeCell ref="G51:I51"/>
    <mergeCell ref="L51:N51"/>
    <mergeCell ref="Q51:S51"/>
    <mergeCell ref="AI39:AL44"/>
    <mergeCell ref="AI46:AL51"/>
    <mergeCell ref="AI53:AL58"/>
    <mergeCell ref="AI60:AL65"/>
    <mergeCell ref="V37:X37"/>
    <mergeCell ref="V51:X51"/>
  </mergeCells>
  <conditionalFormatting sqref="G4:Y7 G18:Y19 G25:Y26 G32:Y32 G53:Y53 G61:Y61">
    <cfRule type="cellIs" dxfId="1" priority="1" operator="equal">
      <formula>$H$3</formula>
    </cfRule>
    <cfRule type="cellIs" dxfId="0" priority="2" operator="equal">
      <formula>$G$3</formula>
    </cfRule>
  </conditionalFormatting>
  <pageMargins left="0" right="1.0416666666666666E-2" top="0.75" bottom="0.75" header="0.3" footer="0.3"/>
  <pageSetup paperSize="9" orientation="portrait" r:id="rId1"/>
  <headerFooter>
    <oddHeader>&amp;CЛоскутов Прохор Александрович, Вариант №37, Лабораторная работа №5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Лист1</vt:lpstr>
      <vt:lpstr>Лист2</vt:lpstr>
      <vt:lpstr>Лист3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2024-11-30T05:53:51Z</dcterms:created>
  <dcterms:modified xsi:type="dcterms:W3CDTF">2024-12-13T17:23:27Z</dcterms:modified>
</cp:coreProperties>
</file>